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0_INDICE" sheetId="1" r:id="rId1"/>
    <sheet name="1_FAMIGLIE" sheetId="2" r:id="rId2"/>
    <sheet name="2_SOGLIE" sheetId="3" r:id="rId3"/>
    <sheet name="3_REGIME" sheetId="4" r:id="rId4"/>
    <sheet name="4_SCORING" sheetId="5" r:id="rId5"/>
    <sheet name="5_METRICHE" sheetId="6" r:id="rId6"/>
    <sheet name="6_LIVELLI" sheetId="7" r:id="rId7"/>
    <sheet name="7_UNIVERSO" sheetId="8" r:id="rId8"/>
    <sheet name="8_ROADMA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<sst xmlns="http://schemas.openxmlformats.org/spreadsheetml/2006/main" count="598" uniqueCount="452">
  <si>
    <t>ETF Monitor — Configurazione Refactor v2.0</t>
  </si>
  <si>
    <t>Sistema parametrico multi-famiglia · Giugno 2026 · Directa SIM / ETFplus Borsa Italiana</t>
  </si>
  <si>
    <t>Foglio</t>
  </si>
  <si>
    <t>Contenuto</t>
  </si>
  <si>
    <t>Priorità</t>
  </si>
  <si>
    <t>1_FAMIGLIE</t>
  </si>
  <si>
    <t>Tassonomia a 13 famiglie operative — assegna ogni ETF a una famiglia</t>
  </si>
  <si>
    <t>★★★ SUBITO</t>
  </si>
  <si>
    <t>2_SOGLIE</t>
  </si>
  <si>
    <t>Parametri RSI, ADX, MA, ATR, AUM per ciascuna famiglia — cuore della config</t>
  </si>
  <si>
    <t>3_REGIME</t>
  </si>
  <si>
    <t>Logica regime a 3 stati (Bull/Laterale/Bear) con bande per famiglia</t>
  </si>
  <si>
    <t>4_SCORING</t>
  </si>
  <si>
    <t>Sistema di punteggio: APRDXM + bonus/penalità — score finale</t>
  </si>
  <si>
    <t>★★ 1-2 MESI</t>
  </si>
  <si>
    <t>5_METRICHE</t>
  </si>
  <si>
    <t>Definizioni e soglie operative: ATR, DD52W, AUM, Spread, Yield, Corr</t>
  </si>
  <si>
    <t>6_LIVELLI</t>
  </si>
  <si>
    <t>Criteri aggiornati per L0/L1/L2/L3 con nuove condizioni</t>
  </si>
  <si>
    <t>7_UNIVERSO</t>
  </si>
  <si>
    <t>Tabella universo ETF: ISIN, nome, ticker, famiglia, AUM, TER, yield</t>
  </si>
  <si>
    <t>★ 3-6 MESI</t>
  </si>
  <si>
    <t>8_ROADMAP</t>
  </si>
  <si>
    <t>Fasi di implementazione con tempi e priorità</t>
  </si>
  <si>
    <t>INFO</t>
  </si>
  <si>
    <t>1. TASSONOMIA — 13 FAMIGLIE OPERATIVE  (da 4 categorie attuali)</t>
  </si>
  <si>
    <t>Assegna ogni ETF a esattamente una famiglia. Usare il codice ID nelle colonne di configurazione degli altri fogli.</t>
  </si>
  <si>
    <t>#</t>
  </si>
  <si>
    <t>ID</t>
  </si>
  <si>
    <t>FAMIGLIA</t>
  </si>
  <si>
    <t>SOTTOCATEGORIE TIPICHE</t>
  </si>
  <si>
    <t>ESEMPI ETF</t>
  </si>
  <si>
    <t>MA PRINCIPALE</t>
  </si>
  <si>
    <t>VOLATILITA ATTESA</t>
  </si>
  <si>
    <t>01</t>
  </si>
  <si>
    <t>equity_sviluppati</t>
  </si>
  <si>
    <t>Equity sviluppati</t>
  </si>
  <si>
    <t>Large cap, ACWI, All-World</t>
  </si>
  <si>
    <t>IWDA, VWCE, CSPX, MEU, EXSA</t>
  </si>
  <si>
    <t>EMA20 + SMA50</t>
  </si>
  <si>
    <t>Bassa-Media</t>
  </si>
  <si>
    <t>02</t>
  </si>
  <si>
    <t>mercati_emergenti</t>
  </si>
  <si>
    <t>Mercati emergenti</t>
  </si>
  <si>
    <t>EM globale, Asia, LatAm, EMEA</t>
  </si>
  <si>
    <t>EIMI, AEME, CI2, KRW, RIO</t>
  </si>
  <si>
    <t>Media-Alta</t>
  </si>
  <si>
    <t>03</t>
  </si>
  <si>
    <t>settoriali_growth</t>
  </si>
  <si>
    <t>Settoriali crescita</t>
  </si>
  <si>
    <t>Tech, AI, Semi, Nasdaq, Digitale</t>
  </si>
  <si>
    <t>XAIX, CHIP, TNOW, CNDX, EQQQ</t>
  </si>
  <si>
    <t>Alta</t>
  </si>
  <si>
    <t>04</t>
  </si>
  <si>
    <t>settoriali_difensivi</t>
  </si>
  <si>
    <t>Settoriali difensivi</t>
  </si>
  <si>
    <t>Salute, Utilities, Insurance, Food</t>
  </si>
  <si>
    <t>HLT, UTI, LIRU, LFOD, HLTW</t>
  </si>
  <si>
    <t>SMA50 + SMA200</t>
  </si>
  <si>
    <t>Bassa</t>
  </si>
  <si>
    <t>05</t>
  </si>
  <si>
    <t>bond_governativi</t>
  </si>
  <si>
    <t>Bond governativi EUR/USD</t>
  </si>
  <si>
    <t>BTP, Bund, UST, Gov Euro, IL</t>
  </si>
  <si>
    <t>BTP10, MTE, IBGX, EMI, X1G</t>
  </si>
  <si>
    <t>Molto bassa</t>
  </si>
  <si>
    <t>06</t>
  </si>
  <si>
    <t>bond_corp_hy_em</t>
  </si>
  <si>
    <t>Bond corporate / HY / EM</t>
  </si>
  <si>
    <t>Corp EUR/USD, HY, EM bond</t>
  </si>
  <si>
    <t>AHYE, UHYC, IBCX, AGEB, EMBHI</t>
  </si>
  <si>
    <t>Media</t>
  </si>
  <si>
    <t>07</t>
  </si>
  <si>
    <t>commodities</t>
  </si>
  <si>
    <t>Commodities broad</t>
  </si>
  <si>
    <t>Bloomberg Comm, GSCI, Energia, Agri</t>
  </si>
  <si>
    <t>CMOD, COMO, CRB, ENRG, AIGA</t>
  </si>
  <si>
    <t>SMA50 stagionale</t>
  </si>
  <si>
    <t>08</t>
  </si>
  <si>
    <t>oro_metalli_preziosi</t>
  </si>
  <si>
    <t>Oro e metalli preziosi</t>
  </si>
  <si>
    <t>Oro, Argento, Platino, Basket PM</t>
  </si>
  <si>
    <t>PHAU, IGLN, PHAG, PHPT, PHPM</t>
  </si>
  <si>
    <t>SMA200</t>
  </si>
  <si>
    <t>09</t>
  </si>
  <si>
    <t>metalli_industriali</t>
  </si>
  <si>
    <t>Metalli industriali</t>
  </si>
  <si>
    <t>Rame, Alluminio, Zinco, Battery</t>
  </si>
  <si>
    <t>COPA, ALUM, ZINC, BATE, AIGI</t>
  </si>
  <si>
    <t>SMA50 + PMI proxy</t>
  </si>
  <si>
    <t>10</t>
  </si>
  <si>
    <t>real_estate_reit</t>
  </si>
  <si>
    <t>Real Estate / REIT</t>
  </si>
  <si>
    <t>EPRA Europe, NAREIT Global, REIT</t>
  </si>
  <si>
    <t>EPRE, MWO, IPRP, IASP, ZPRE</t>
  </si>
  <si>
    <t>SMA50 + yield 10Y</t>
  </si>
  <si>
    <t>11</t>
  </si>
  <si>
    <t>crypto_digital</t>
  </si>
  <si>
    <t>Crypto / asset digitali</t>
  </si>
  <si>
    <t>Bitcoin, Ethereum, Solana, Basket</t>
  </si>
  <si>
    <t>BTCN, BITC, ETHE, BTCE, BDAS</t>
  </si>
  <si>
    <t>EMA20 + SMA200</t>
  </si>
  <si>
    <t>Molto alta</t>
  </si>
  <si>
    <t>12</t>
  </si>
  <si>
    <t>leva_single_stock</t>
  </si>
  <si>
    <t>Leva / single stock / struct</t>
  </si>
  <si>
    <t>ETP 3x long/short su singoli titoli</t>
  </si>
  <si>
    <t>3LNV, 3SNV, 3LTS, 3MIB, 3MBS</t>
  </si>
  <si>
    <t>EMA20 + vol impl.</t>
  </si>
  <si>
    <t>Estrema</t>
  </si>
  <si>
    <t>13</t>
  </si>
  <si>
    <t>private_equity_buffer</t>
  </si>
  <si>
    <t>Private Equity / Buffer ETF</t>
  </si>
  <si>
    <t>Listed PE, Buffer strategy</t>
  </si>
  <si>
    <t>IPRE, DX2G, IUSB, IUSM</t>
  </si>
  <si>
    <t>SMA50 + NAV disc.</t>
  </si>
  <si>
    <t>★  Famiglie 11-12-13 (sfondo viola) = NUOVE — non presenti nel sistema attuale</t>
  </si>
  <si>
    <t>2. SOGLIE OPERATIVE PER FAMIGLIA  —  tutti i parametri sono modificabili qui</t>
  </si>
  <si>
    <t>Questo foglio è il cuore della configurazione. Il motore di calcolo legge questi valori. Modificare qui per cambiare il comportamento del sistema.</t>
  </si>
  <si>
    <t>MA FILTRO 1</t>
  </si>
  <si>
    <t>MA FILTRO 2</t>
  </si>
  <si>
    <t>RSI IN low</t>
  </si>
  <si>
    <t>RSI IN high</t>
  </si>
  <si>
    <t>RSI OUT</t>
  </si>
  <si>
    <t>ADX min</t>
  </si>
  <si>
    <t>Banda Lat. %</t>
  </si>
  <si>
    <t>ATR% max</t>
  </si>
  <si>
    <t>AUM min M€</t>
  </si>
  <si>
    <t>NOTE</t>
  </si>
  <si>
    <t>EMA20</t>
  </si>
  <si>
    <t>SMA50</t>
  </si>
  <si>
    <t>Parametri standard — baseline del sistema</t>
  </si>
  <si>
    <t>Soglie piu severe per alta volatilita</t>
  </si>
  <si>
    <t>RSI uscita piu alto — trend prolungati</t>
  </si>
  <si>
    <t>ADX min basso — asset poco direzionali</t>
  </si>
  <si>
    <t>Range RSI stretto — asset poco oscillanti</t>
  </si>
  <si>
    <t>Piu simile a equity per dinamiche trend</t>
  </si>
  <si>
    <t>inflation_linked</t>
  </si>
  <si>
    <t>Aggiungi filtro CPI trend esterno</t>
  </si>
  <si>
    <t>—</t>
  </si>
  <si>
    <t>Stagionalita importante — vedere PMI</t>
  </si>
  <si>
    <t>SMA200 e il filtro principale</t>
  </si>
  <si>
    <t>PMI proxy</t>
  </si>
  <si>
    <t>Aggiungere filtro PMI manifatturiero</t>
  </si>
  <si>
    <t>yield 10Y</t>
  </si>
  <si>
    <t>Filtrare anche per tasso interesse 10Y</t>
  </si>
  <si>
    <t>monetario_liquidita</t>
  </si>
  <si>
    <t>No analisi tecnica — solo ranking yield</t>
  </si>
  <si>
    <t>NUOVO — range RSI amplissimo</t>
  </si>
  <si>
    <t>vol impl.</t>
  </si>
  <si>
    <t>NUOVO — hold time giorni/settimane</t>
  </si>
  <si>
    <t>NAV disc.</t>
  </si>
  <si>
    <t>NUOVO — aggiungere filtro sconto NAV</t>
  </si>
  <si>
    <t>3. REGIME A 3 STATI — logica Bull / Laterale / Bear per famiglia</t>
  </si>
  <si>
    <t>Il regime è determinato dalla distanza relativa tra EMA20 e SMA50, con bande diverse per ogni famiglia.</t>
  </si>
  <si>
    <t>▶  BULL</t>
  </si>
  <si>
    <t>▶  LATERALE</t>
  </si>
  <si>
    <t>▶  BEAR</t>
  </si>
  <si>
    <t>Condizione</t>
  </si>
  <si>
    <t>(EMA20 - SMA50) / SMA50 &gt; +banda</t>
  </si>
  <si>
    <t>abs(EMA20 - SMA50) / SMA50 &lt;= banda</t>
  </si>
  <si>
    <t>(EMA20 - SMA50) / SMA50 &lt; -banda</t>
  </si>
  <si>
    <t>Esempio</t>
  </si>
  <si>
    <t>EMA20 = 105 / SMA50 = 100 / banda = 1% → BULL</t>
  </si>
  <si>
    <t>EMA20 = 100,8 / SMA50 = 100 / banda = 1% → LATERALE</t>
  </si>
  <si>
    <t>EMA20 = 98,5 / SMA50 = 100 / banda = 1% → BEAR</t>
  </si>
  <si>
    <t>Impatto score</t>
  </si>
  <si>
    <t>Nessuna penalita — eligibile L1</t>
  </si>
  <si>
    <t>Penalita -1 punto — solo L2</t>
  </si>
  <si>
    <t>Non eligibile L1 — monitoraggio passivo</t>
  </si>
  <si>
    <t>Azione operativa</t>
  </si>
  <si>
    <t>Verifica score APRDXM e procedi</t>
  </si>
  <si>
    <t>Attendere uscita dalla fascia laterale</t>
  </si>
  <si>
    <t>Uscita o non ingresso — monitor L3</t>
  </si>
  <si>
    <t>Bande laterali per famiglia (valori dalla config — vedi foglio 2_SOGLIE)</t>
  </si>
  <si>
    <t>Banda laterale %</t>
  </si>
  <si>
    <t>Esempio: Laterale se</t>
  </si>
  <si>
    <t>1,0%</t>
  </si>
  <si>
    <t>abs(EMA20-SMA50)/SMA50 &lt;= 0,01</t>
  </si>
  <si>
    <t>1,2%</t>
  </si>
  <si>
    <t>abs(EMA20-SMA50)/SMA50 &lt;= 0,012</t>
  </si>
  <si>
    <t>1,5%</t>
  </si>
  <si>
    <t>abs(EMA20-SMA50)/SMA50 &lt;= 0,015</t>
  </si>
  <si>
    <t>0,5%</t>
  </si>
  <si>
    <t>abs(EMA20-SMA50)/SMA50 &lt;= 0,005 — banda strettissima</t>
  </si>
  <si>
    <t>3,0%</t>
  </si>
  <si>
    <t>abs(EMA20-SMA50)/SMA50 &lt;= 0,030 — banda amplissima</t>
  </si>
  <si>
    <t>2,0%</t>
  </si>
  <si>
    <t>abs(EMA20-SMA50)/SMA50 &lt;= 0,020</t>
  </si>
  <si>
    <t>0,8%</t>
  </si>
  <si>
    <t>abs(EMA20-SMA50)/SMA50 &lt;= 0,008</t>
  </si>
  <si>
    <t>4. SISTEMA DI SCORING — APRDXM + bonus/penalita → score finale</t>
  </si>
  <si>
    <t>Score base: APRDXM (0-6 punti)</t>
  </si>
  <si>
    <t>Lettera</t>
  </si>
  <si>
    <t>Punti</t>
  </si>
  <si>
    <t>Descrizione</t>
  </si>
  <si>
    <t>A</t>
  </si>
  <si>
    <t>Prezzo &gt; EMA20</t>
  </si>
  <si>
    <t>+1</t>
  </si>
  <si>
    <t>Trend breve confermato</t>
  </si>
  <si>
    <t>P</t>
  </si>
  <si>
    <t>Prezzo &gt; SMA50</t>
  </si>
  <si>
    <t>Trend medio confermato</t>
  </si>
  <si>
    <t>R</t>
  </si>
  <si>
    <t>RSI in range ingresso (soglia per famiglia)</t>
  </si>
  <si>
    <t>Momentum positivo</t>
  </si>
  <si>
    <t>D</t>
  </si>
  <si>
    <t>ADX &gt; soglia (differenziata per famiglia)</t>
  </si>
  <si>
    <t>Trend forte — non laterale</t>
  </si>
  <si>
    <t>X</t>
  </si>
  <si>
    <t>Regime = BULL (EMA20 &gt; SMA50 oltre banda)</t>
  </si>
  <si>
    <t>Tendenza di fondo rialzista</t>
  </si>
  <si>
    <t>M</t>
  </si>
  <si>
    <t>Momentum: var% recente positiva</t>
  </si>
  <si>
    <t>Slancio confermato</t>
  </si>
  <si>
    <t>Penalita (-punti)</t>
  </si>
  <si>
    <t>Condizione penalita</t>
  </si>
  <si>
    <t>Razionale</t>
  </si>
  <si>
    <t>Regime LATERALE</t>
  </si>
  <si>
    <t>-1,0</t>
  </si>
  <si>
    <t>Riduce probabilita di ingresso in L1</t>
  </si>
  <si>
    <t>ATR_norm &gt; soglia famiglia</t>
  </si>
  <si>
    <t>-0,5</t>
  </si>
  <si>
    <t>Volatilita troppo alta per il profilo</t>
  </si>
  <si>
    <t>AUM &lt; 50M euro</t>
  </si>
  <si>
    <t>Rischio liquidita e chiusura fondo</t>
  </si>
  <si>
    <t>Spread bid/ask &gt; 0,50%</t>
  </si>
  <si>
    <t>Costo implicito elevato</t>
  </si>
  <si>
    <t>Drawdown DD_52W &lt; -20%</t>
  </si>
  <si>
    <t>Stress di mercato significativo</t>
  </si>
  <si>
    <t>Corr90 &gt; 0,90 vs ETF in L1</t>
  </si>
  <si>
    <t>Ridondante rispetto a posizioni esistenti</t>
  </si>
  <si>
    <t>Bonus (+punti)</t>
  </si>
  <si>
    <t>Condizione bonus</t>
  </si>
  <si>
    <t>Regime BULL + ADX &gt; 25</t>
  </si>
  <si>
    <t>+0,5</t>
  </si>
  <si>
    <t>Trend forte e confermato</t>
  </si>
  <si>
    <t>DD_52W &gt; -5% (vicino ai massimi)</t>
  </si>
  <si>
    <t>+0,3</t>
  </si>
  <si>
    <t>Forza relativa elevata</t>
  </si>
  <si>
    <t>Corr90 &lt; 0,40 vs portafoglio</t>
  </si>
  <si>
    <t>Forte diversificazione reale</t>
  </si>
  <si>
    <t>Yield &gt; tasso BCE + 1% (bond)</t>
  </si>
  <si>
    <t>Conveniente vs monetario</t>
  </si>
  <si>
    <t>FORMULA SCORE FINALE:   Score_finale = APRDXM (0-6)  +  bonus  −  penalita</t>
  </si>
  <si>
    <t>5. NUOVE METRICHE — definizioni, formule e soglie operative</t>
  </si>
  <si>
    <t xml:space="preserve">  ATR normalizzato</t>
  </si>
  <si>
    <t>Formula</t>
  </si>
  <si>
    <t>ATR(14) / Prezzo_corrente × 100</t>
  </si>
  <si>
    <t>Uso</t>
  </si>
  <si>
    <t>Calibrare dimensione posizione e ampiezza stop</t>
  </si>
  <si>
    <t>&lt; 1%</t>
  </si>
  <si>
    <t>Bassa volatilita — size maggiore, stop stretto</t>
  </si>
  <si>
    <t>1% - 3%</t>
  </si>
  <si>
    <t>Media — size standard</t>
  </si>
  <si>
    <t>&gt; 3%</t>
  </si>
  <si>
    <t>Alta — ridurre size o stop piu largo</t>
  </si>
  <si>
    <t>&gt; 5%</t>
  </si>
  <si>
    <t>Molto alta — escludere da L1 (eccetto crypto con soglia 15%)</t>
  </si>
  <si>
    <t xml:space="preserve">  Drawdown 52W (DD_52W)</t>
  </si>
  <si>
    <t>(Prezzo - Max_52W) / Max_52W × 100</t>
  </si>
  <si>
    <t>Misura stress di mercato — visibile su L1 / L2 / L3</t>
  </si>
  <si>
    <t>&gt; -10%</t>
  </si>
  <si>
    <t>Normale — nessuna azione</t>
  </si>
  <si>
    <t>-10% / -20%</t>
  </si>
  <si>
    <t>Attenzione — monitorare</t>
  </si>
  <si>
    <t>-20% / -30%</t>
  </si>
  <si>
    <t>Potenziale area di accumulo con trend in ripresa</t>
  </si>
  <si>
    <t>&lt; -30%</t>
  </si>
  <si>
    <t>Bear market conclamato — uscita o non ingresso</t>
  </si>
  <si>
    <t xml:space="preserve">  AUM (patrimonio)</t>
  </si>
  <si>
    <t>Fonte</t>
  </si>
  <si>
    <t>Dati emittente o Borsa Italiana / JustETF</t>
  </si>
  <si>
    <t>Filtro qualita — rischio chiusura e liquidita</t>
  </si>
  <si>
    <t>&gt; 100M euro</t>
  </si>
  <si>
    <t>Sicuro — standard di mercato</t>
  </si>
  <si>
    <t>50 - 100M</t>
  </si>
  <si>
    <t>&lt; 50M euro</t>
  </si>
  <si>
    <t>Flag rosso — rischio delisting o chiusura fondo</t>
  </si>
  <si>
    <t xml:space="preserve">  Spread bid/ask</t>
  </si>
  <si>
    <t>(Ask - Bid) / ((Ask + Bid) / 2) × 100</t>
  </si>
  <si>
    <t>Costo implicito di esecuzione — penalizza l'ingresso</t>
  </si>
  <si>
    <t>&lt; 0,10%</t>
  </si>
  <si>
    <t>Eccellente — ETF molto liquido</t>
  </si>
  <si>
    <t>0,10% - 0,50%</t>
  </si>
  <si>
    <t>Accettabile</t>
  </si>
  <si>
    <t>&gt; 0,50%</t>
  </si>
  <si>
    <t>Penalita -0,5 punti nello score</t>
  </si>
  <si>
    <t>&gt; 1,00%</t>
  </si>
  <si>
    <t>Sconsigliato — considera ETF alternativo piu liquido</t>
  </si>
  <si>
    <t xml:space="preserve">  Yield distribuito</t>
  </si>
  <si>
    <t>Distribuzione_annua / Prezzo_corrente × 100</t>
  </si>
  <si>
    <t>Applicabilita</t>
  </si>
  <si>
    <t>Solo bond ETF e dividend strategy</t>
  </si>
  <si>
    <t>Confronto BCE</t>
  </si>
  <si>
    <t>Se Yield &lt; tasso BCE overnight → inefficiente vs monetario</t>
  </si>
  <si>
    <t>Segnale buy</t>
  </si>
  <si>
    <t>Yield &gt; BCE + 1% → conveniente rispetto a parcheggio</t>
  </si>
  <si>
    <t>Uso rotazione</t>
  </si>
  <si>
    <t>Da bond core a HY quando spread yield si allarga</t>
  </si>
  <si>
    <t xml:space="preserve">  Correlazione rolling 90gg</t>
  </si>
  <si>
    <t>rolling_corr(rendimenti_ETF, rendimenti_MSCI_World, window=90)</t>
  </si>
  <si>
    <t>Diversificazione reale del portafoglio</t>
  </si>
  <si>
    <t>Corr &gt; 0,90</t>
  </si>
  <si>
    <t>Alta ridondanza — penalita se gia in L1 asset simile</t>
  </si>
  <si>
    <t>Corr 0,50-0,90</t>
  </si>
  <si>
    <t>Decorrelazione parziale — accettabile</t>
  </si>
  <si>
    <t>Corr &lt; 0,40</t>
  </si>
  <si>
    <t>Ottimo diversificatore — bonus +0,5 punti</t>
  </si>
  <si>
    <t>Corr &lt; 0</t>
  </si>
  <si>
    <t>Decorrelato / hedge — molto utile in portafoglio</t>
  </si>
  <si>
    <t>6. CRITERI LIVELLI L0 / L1 / L2 / L3 — aggiornati con nuove regole</t>
  </si>
  <si>
    <t xml:space="preserve">  L1  —  TREND SICURO  (Posizione attiva)</t>
  </si>
  <si>
    <t>Score APRDXM</t>
  </si>
  <si>
    <t>Regime</t>
  </si>
  <si>
    <t>ATR_norm</t>
  </si>
  <si>
    <t>&lt; soglia famiglia (solitamente &lt;3%)</t>
  </si>
  <si>
    <t>AUM</t>
  </si>
  <si>
    <t>&gt; 50M euro</t>
  </si>
  <si>
    <t>Score finale</t>
  </si>
  <si>
    <t>&gt;= 5,5 (inclusi bonus/penalita)</t>
  </si>
  <si>
    <t>Azione</t>
  </si>
  <si>
    <t>Mantenere / aprire posizione</t>
  </si>
  <si>
    <t xml:space="preserve">  L2  —  WATCHLIST  (Monitoraggio attivo)</t>
  </si>
  <si>
    <t>BULL o LATERALE</t>
  </si>
  <si>
    <t>Motivazione</t>
  </si>
  <si>
    <t>Mostrare quale condizione manca per L1</t>
  </si>
  <si>
    <t>Esempi motivo</t>
  </si>
  <si>
    <t>ADX sotto soglia / Regime laterale / AUM basso / RSI fuori range</t>
  </si>
  <si>
    <t>Monitorare — pronto a entrare a L1 al miglioramento</t>
  </si>
  <si>
    <t xml:space="preserve">  L3  —  UNIVERSO PASSIVO  (Monitoraggio di sfondo)</t>
  </si>
  <si>
    <t>&lt; 4/6 o Regime = BEAR</t>
  </si>
  <si>
    <t>Mostrare</t>
  </si>
  <si>
    <t>Segnale di transizione verso L2 se le condizioni migliorano</t>
  </si>
  <si>
    <t>Nessuna — solo osservazione. Uscire se gia in posizione</t>
  </si>
  <si>
    <t xml:space="preserve">  L0  —  DEEP RECOVERY  (Zona di attenzione speciale)</t>
  </si>
  <si>
    <t>Regime BEAR da almeno N periodi (configurabile)</t>
  </si>
  <si>
    <t>DD_52W</t>
  </si>
  <si>
    <t>&lt; -25%</t>
  </si>
  <si>
    <t>Monitorare per potenziale inversione (value/controtendenza)</t>
  </si>
  <si>
    <t>Non entrare — solo osservare segnali di inversione</t>
  </si>
  <si>
    <t>7. UNIVERSO ETF — tabella base (completare con dati aggiornati)</t>
  </si>
  <si>
    <t>AUM e Yield sono indicativi — aggiornare con dati correnti da JustETF / Borsa Italiana / emittenti. Colori = nuove famiglie.</t>
  </si>
  <si>
    <t>ISIN</t>
  </si>
  <si>
    <t>DENOMINAZIONE</t>
  </si>
  <si>
    <t>TICKER</t>
  </si>
  <si>
    <t>EMITTENTE</t>
  </si>
  <si>
    <t>AUM M€</t>
  </si>
  <si>
    <t>TER %</t>
  </si>
  <si>
    <t>YIELD %</t>
  </si>
  <si>
    <t>IE00B4L5Y983</t>
  </si>
  <si>
    <t>iShares Core MSCI World UCITS ETF</t>
  </si>
  <si>
    <t>IWDA</t>
  </si>
  <si>
    <t>iShares</t>
  </si>
  <si>
    <t>IE00BK5BQT80</t>
  </si>
  <si>
    <t>Vanguard FTSE All-World UCITS ETF</t>
  </si>
  <si>
    <t>VWCE</t>
  </si>
  <si>
    <t>Vanguard</t>
  </si>
  <si>
    <t>LU1829221024</t>
  </si>
  <si>
    <t>Amundi Core Nasdaq-100 Swap UCITS ETF</t>
  </si>
  <si>
    <t>UST</t>
  </si>
  <si>
    <t>Amundi</t>
  </si>
  <si>
    <t>IE00BGV5VN51</t>
  </si>
  <si>
    <t>Xtrackers AI &amp; Big Data UCITS ETF</t>
  </si>
  <si>
    <t>XAIX</t>
  </si>
  <si>
    <t>Xtrackers</t>
  </si>
  <si>
    <t>Amundi MSCI Emerging Markets UCITS ETF</t>
  </si>
  <si>
    <t>AEME</t>
  </si>
  <si>
    <t>FR0010361683</t>
  </si>
  <si>
    <t>Amundi MSCI India Swap UCITS ETF</t>
  </si>
  <si>
    <t>INR</t>
  </si>
  <si>
    <t>LU1598691217</t>
  </si>
  <si>
    <t>Amundi IS Italy BTP Gov Bond 10Y ETF</t>
  </si>
  <si>
    <t>BTP10</t>
  </si>
  <si>
    <t>LU1650489385</t>
  </si>
  <si>
    <t>Amundi Euro Gov Bond 10-15Y UCITS ETF</t>
  </si>
  <si>
    <t>MTE</t>
  </si>
  <si>
    <t>LU1681040496</t>
  </si>
  <si>
    <t>Amundi IS Euro HY Bond ESG UCITS ETF</t>
  </si>
  <si>
    <t>AHYE</t>
  </si>
  <si>
    <t>LU1681041205</t>
  </si>
  <si>
    <t>Amundi IS USD EM Gov Bond UCITS ETF</t>
  </si>
  <si>
    <t>AGEB</t>
  </si>
  <si>
    <t>LU1650491282</t>
  </si>
  <si>
    <t>Amundi Euro Gov IL Bond UCITS ETF</t>
  </si>
  <si>
    <t>EMI</t>
  </si>
  <si>
    <t>JE00B1VS3770</t>
  </si>
  <si>
    <t>WisdomTree Physical Gold ETC</t>
  </si>
  <si>
    <t>PHAU</t>
  </si>
  <si>
    <t>WisdomTree</t>
  </si>
  <si>
    <t>DE000A1RX996</t>
  </si>
  <si>
    <t>iShares Physical Gold ETC</t>
  </si>
  <si>
    <t>IGLN</t>
  </si>
  <si>
    <t>IE00BD6FVP32</t>
  </si>
  <si>
    <t>Invesco Bloomberg Commodity UCITS ETF</t>
  </si>
  <si>
    <t>CMOD</t>
  </si>
  <si>
    <t>Invesco</t>
  </si>
  <si>
    <t>GB00B15KXQ89</t>
  </si>
  <si>
    <t>WisdomTree Copper ETC</t>
  </si>
  <si>
    <t>COPA</t>
  </si>
  <si>
    <t>LU1681039480</t>
  </si>
  <si>
    <t>Amundi IS FTSE EPRA Europe Real Est ETF</t>
  </si>
  <si>
    <t>EPRE</t>
  </si>
  <si>
    <t>FR0010510800</t>
  </si>
  <si>
    <t>Amundi EUR Overnight Return UCITS ETF</t>
  </si>
  <si>
    <t>CSH</t>
  </si>
  <si>
    <t>LU0290358497</t>
  </si>
  <si>
    <t>Xtrackers II EUR Overnight Rate Swap ETF</t>
  </si>
  <si>
    <t>XEON</t>
  </si>
  <si>
    <t>XS2940466316</t>
  </si>
  <si>
    <t>iShares Bitcoin ETP</t>
  </si>
  <si>
    <t>BTCN</t>
  </si>
  <si>
    <t>GB00BLD4ZL17</t>
  </si>
  <si>
    <t>CoinShares Physical Bitcoin ETP</t>
  </si>
  <si>
    <t>BITC</t>
  </si>
  <si>
    <t>CoinShares</t>
  </si>
  <si>
    <t>IE00B1TXHL60</t>
  </si>
  <si>
    <t>iShares Listed Private Equity UCITS ETF</t>
  </si>
  <si>
    <t>IPRE</t>
  </si>
  <si>
    <t>8. ROADMAP IMPLEMENTATIVA — fasi, priorita e criteri di accettazione</t>
  </si>
  <si>
    <t xml:space="preserve">  FASE 1  —  Subito</t>
  </si>
  <si>
    <t>Obiettivo</t>
  </si>
  <si>
    <t>Regime a 3 stati + tassonomia a 13 famiglie</t>
  </si>
  <si>
    <t>Azione 1</t>
  </si>
  <si>
    <t>Aggiungere logica: se |EMA20-SMA50|/SMA50 &lt; banda_famiglia → LATERALE</t>
  </si>
  <si>
    <t>Azione 2</t>
  </si>
  <si>
    <t>Creare colonna famiglia per ogni ETF dell'universo</t>
  </si>
  <si>
    <t>Azione 3</t>
  </si>
  <si>
    <t>Differenziare soglie RSI/ADX per le 4 macro-categorie esistenti</t>
  </si>
  <si>
    <t>Criterio ok</t>
  </si>
  <si>
    <t>Ogni ETF ha un regime a 3 stati e una famiglia assegnata</t>
  </si>
  <si>
    <t xml:space="preserve">  FASE 2  —  1-2 mesi</t>
  </si>
  <si>
    <t>SMA200 per asset lenti + Drawdown su tutti i livelli</t>
  </si>
  <si>
    <t>Aggiungere SMA200 per bond_governativi, oro, inflation_linked</t>
  </si>
  <si>
    <t>Estendere colonna DD_52W da solo L1 a L1 + L2 + L3</t>
  </si>
  <si>
    <t>Differenziare parametri per tutte le 13 famiglie (foglio 2_SOGLIE)</t>
  </si>
  <si>
    <t>Tutti i livelli mostrano drawdown — SMA200 calcolata per asset lenti</t>
  </si>
  <si>
    <t xml:space="preserve">  FASE 3  —  3-6 mesi</t>
  </si>
  <si>
    <t>Nuove metriche rischio + 3 famiglie aggiuntive operative</t>
  </si>
  <si>
    <t>Aggiungere ATR normalizzato come colonna nel monitor</t>
  </si>
  <si>
    <t>Aggiungere AUM, Spread, TER e Yield come colonne visibili</t>
  </si>
  <si>
    <t>Attivare famiglie crypto, leva_single_stock, private_equity_buffer</t>
  </si>
  <si>
    <t>Azione 4</t>
  </si>
  <si>
    <t>Implementare score finale con bonus e penalita</t>
  </si>
  <si>
    <t>Score finale disponibile — 3 nuove famiglie con parametri propri</t>
  </si>
  <si>
    <t xml:space="preserve">  FASE 4  —  6-12 mesi</t>
  </si>
  <si>
    <t>Correlazione rolling + comparatore Yield vs BCE</t>
  </si>
  <si>
    <t>Calcolare Corr90 verso MSCI World e tra ETF in L1</t>
  </si>
  <si>
    <t>Aggiungere flag: Yield &lt; tasso BCE → inefficiente vs monetario</t>
  </si>
  <si>
    <t>Aggiungere sizing automatico suggerito basato su ATR</t>
  </si>
  <si>
    <t>Dashboard finale con riepilogo operativo per livello</t>
  </si>
  <si>
    <t>Sistema completo — correlazione e sizing operativi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</si>
</sst>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.0%"/>
  </numFmts>
  <fonts count="5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2"/>
      <color rgb="FF1B5E20"/>
      <name val="Calibri"/>
      <charset val="134"/>
    </font>
    <font>
      <b/>
      <sz val="9"/>
      <color rgb="FF1B5E20"/>
      <name val="Calibri"/>
      <charset val="134"/>
    </font>
    <font>
      <sz val="9"/>
      <color rgb="FF000000"/>
      <name val="Calibri"/>
      <charset val="134"/>
    </font>
    <font>
      <b/>
      <sz val="12"/>
      <color rgb="FF2E75B6"/>
      <name val="Calibri"/>
      <charset val="134"/>
    </font>
    <font>
      <b/>
      <sz val="9"/>
      <color rgb="FF2E75B6"/>
      <name val="Calibri"/>
      <charset val="134"/>
    </font>
    <font>
      <b/>
      <sz val="12"/>
      <color rgb="FF7B4F00"/>
      <name val="Calibri"/>
      <charset val="134"/>
    </font>
    <font>
      <b/>
      <sz val="9"/>
      <color rgb="FF7B4F00"/>
      <name val="Calibri"/>
      <charset val="134"/>
    </font>
    <font>
      <b/>
      <sz val="12"/>
      <color rgb="FFBF360C"/>
      <name val="Calibri"/>
      <charset val="134"/>
    </font>
    <font>
      <b/>
      <sz val="9"/>
      <color rgb="FFBF360C"/>
      <name val="Calibri"/>
      <charset val="134"/>
    </font>
    <font>
      <i/>
      <sz val="9"/>
      <color rgb="FF444444"/>
      <name val="Calibri"/>
      <charset val="134"/>
    </font>
    <font>
      <b/>
      <sz val="10"/>
      <color rgb="FFFFFFFF"/>
      <name val="Calibri"/>
      <charset val="134"/>
    </font>
    <font>
      <b/>
      <sz val="9"/>
      <color rgb="FF000000"/>
      <name val="Calibri"/>
      <charset val="134"/>
    </font>
    <font>
      <sz val="9"/>
      <color rgb="FF4A148C"/>
      <name val="Calibri"/>
      <charset val="134"/>
    </font>
    <font>
      <b/>
      <sz val="9"/>
      <color rgb="FF4A148C"/>
      <name val="Calibri"/>
      <charset val="134"/>
    </font>
    <font>
      <b/>
      <sz val="12"/>
      <color rgb="FFB71C1C"/>
      <name val="Calibri"/>
      <charset val="134"/>
    </font>
    <font>
      <b/>
      <sz val="9"/>
      <color rgb="FFB71C1C"/>
      <name val="Calibri"/>
      <charset val="134"/>
    </font>
    <font>
      <b/>
      <sz val="11"/>
      <color rgb="FF2E75B6"/>
      <name val="Calibri"/>
      <charset val="134"/>
    </font>
    <font>
      <b/>
      <sz val="11"/>
      <color rgb="FF1B5E20"/>
      <name val="Calibri"/>
      <charset val="134"/>
    </font>
    <font>
      <b/>
      <sz val="11"/>
      <color rgb="FF7B4F00"/>
      <name val="Calibri"/>
      <charset val="134"/>
    </font>
    <font>
      <b/>
      <sz val="11"/>
      <color rgb="FFBF360C"/>
      <name val="Calibri"/>
      <charset val="134"/>
    </font>
    <font>
      <b/>
      <sz val="11"/>
      <color rgb="FF004D40"/>
      <name val="Calibri"/>
      <charset val="134"/>
    </font>
    <font>
      <b/>
      <sz val="9"/>
      <color rgb="FF004D40"/>
      <name val="Calibri"/>
      <charset val="134"/>
    </font>
    <font>
      <b/>
      <sz val="11"/>
      <color rgb="FF4A148C"/>
      <name val="Calibri"/>
      <charset val="134"/>
    </font>
    <font>
      <b/>
      <sz val="11"/>
      <color rgb="FF1A3A5C"/>
      <name val="Calibri"/>
      <charset val="134"/>
    </font>
    <font>
      <b/>
      <sz val="13"/>
      <color rgb="FF1B5E20"/>
      <name val="Calibri"/>
      <charset val="134"/>
    </font>
    <font>
      <b/>
      <sz val="13"/>
      <color rgb="FF7B4F00"/>
      <name val="Calibri"/>
      <charset val="134"/>
    </font>
    <font>
      <b/>
      <sz val="13"/>
      <color rgb="FFB71C1C"/>
      <name val="Calibri"/>
      <charset val="134"/>
    </font>
    <font>
      <sz val="9"/>
      <color rgb="FF1B5E20"/>
      <name val="Calibri"/>
      <charset val="134"/>
    </font>
    <font>
      <sz val="9"/>
      <color rgb="FF7B4F00"/>
      <name val="Calibri"/>
      <charset val="134"/>
    </font>
    <font>
      <sz val="9"/>
      <color rgb="FFB71C1C"/>
      <name val="Calibri"/>
      <charset val="134"/>
    </font>
    <font>
      <b/>
      <i/>
      <sz val="9"/>
      <color rgb="FF4A148C"/>
      <name val="Calibri"/>
      <charset val="134"/>
    </font>
    <font>
      <b/>
      <sz val="16"/>
      <color rgb="FF1A3A5C"/>
      <name val="Calibri"/>
      <charset val="134"/>
    </font>
    <font>
      <i/>
      <sz val="10"/>
      <color rgb="FF66666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D6E4F0"/>
        <bgColor rgb="FFD6E4F0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  <fill>
      <patternFill patternType="solid">
        <fgColor rgb="FFEBF3FB"/>
        <bgColor rgb="FFEBF3FB"/>
      </patternFill>
    </fill>
    <fill>
      <patternFill patternType="solid">
        <fgColor rgb="FF1A3A5C"/>
        <bgColor rgb="FF1A3A5C"/>
      </patternFill>
    </fill>
    <fill>
      <patternFill patternType="solid">
        <fgColor rgb="FFE0F2F1"/>
        <bgColor rgb="FFE0F2F1"/>
      </patternFill>
    </fill>
    <fill>
      <patternFill patternType="solid">
        <fgColor rgb="FFEDE7F6"/>
        <bgColor rgb="FFEDE7F6"/>
      </patternFill>
    </fill>
    <fill>
      <patternFill patternType="solid">
        <fgColor rgb="FFFFEBEE"/>
        <bgColor rgb="FFFFEBEE"/>
      </patternFill>
    </fill>
    <fill>
      <patternFill patternType="solid">
        <fgColor rgb="FFB71C1C"/>
        <bgColor rgb="FFB71C1C"/>
      </patternFill>
    </fill>
    <fill>
      <patternFill patternType="solid">
        <fgColor rgb="FF1B5E20"/>
        <bgColor rgb="FF1B5E2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7B4F00"/>
      </left>
      <right style="medium">
        <color rgb="FF7B4F00"/>
      </right>
      <top style="medium">
        <color rgb="FF7B4F00"/>
      </top>
      <bottom style="medium">
        <color rgb="FF7B4F00"/>
      </bottom>
      <diagonal/>
    </border>
    <border>
      <left style="medium">
        <color rgb="FFBF360C"/>
      </left>
      <right style="medium">
        <color rgb="FFBF360C"/>
      </right>
      <top style="medium">
        <color rgb="FFBF360C"/>
      </top>
      <bottom style="medium">
        <color rgb="FFBF360C"/>
      </bottom>
      <diagonal/>
    </border>
    <border>
      <left style="medium">
        <color rgb="FFB71C1C"/>
      </left>
      <right style="medium">
        <color rgb="FFB71C1C"/>
      </right>
      <top style="medium">
        <color rgb="FFB71C1C"/>
      </top>
      <bottom style="medium">
        <color rgb="FFB71C1C"/>
      </bottom>
      <diagonal/>
    </border>
    <border>
      <left style="medium">
        <color rgb="FF004D40"/>
      </left>
      <right style="medium">
        <color rgb="FF004D40"/>
      </right>
      <top style="medium">
        <color rgb="FF004D40"/>
      </top>
      <bottom style="medium">
        <color rgb="FF004D40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16" borderId="9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7" borderId="12" applyNumberFormat="0" applyAlignment="0" applyProtection="0">
      <alignment vertical="center"/>
    </xf>
    <xf numFmtId="0" fontId="45" fillId="18" borderId="13" applyNumberFormat="0" applyAlignment="0" applyProtection="0">
      <alignment vertical="center"/>
    </xf>
    <xf numFmtId="0" fontId="46" fillId="18" borderId="12" applyNumberFormat="0" applyAlignment="0" applyProtection="0">
      <alignment vertical="center"/>
    </xf>
    <xf numFmtId="0" fontId="47" fillId="19" borderId="14" applyNumberFormat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</cellStyleXfs>
  <cellXfs count="8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right" vertical="center"/>
    </xf>
    <xf numFmtId="0" fontId="7" fillId="7" borderId="4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right" vertical="center"/>
    </xf>
    <xf numFmtId="0" fontId="9" fillId="8" borderId="5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right" vertical="center"/>
    </xf>
    <xf numFmtId="0" fontId="11" fillId="9" borderId="0" xfId="0" applyFont="1" applyFill="1" applyAlignment="1">
      <alignment horizontal="left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center" vertical="center"/>
    </xf>
    <xf numFmtId="10" fontId="4" fillId="5" borderId="2" xfId="0" applyNumberFormat="1" applyFont="1" applyFill="1" applyBorder="1" applyAlignment="1">
      <alignment horizontal="center" vertical="center"/>
    </xf>
    <xf numFmtId="178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10" fontId="4" fillId="6" borderId="2" xfId="0" applyNumberFormat="1" applyFont="1" applyFill="1" applyBorder="1" applyAlignment="1">
      <alignment horizontal="center" vertical="center"/>
    </xf>
    <xf numFmtId="178" fontId="4" fillId="6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center" vertical="center"/>
    </xf>
    <xf numFmtId="3" fontId="4" fillId="11" borderId="2" xfId="0" applyNumberFormat="1" applyFont="1" applyFill="1" applyBorder="1" applyAlignment="1">
      <alignment horizontal="center" vertical="center"/>
    </xf>
    <xf numFmtId="10" fontId="4" fillId="11" borderId="2" xfId="0" applyNumberFormat="1" applyFont="1" applyFill="1" applyBorder="1" applyAlignment="1">
      <alignment horizontal="center" vertical="center"/>
    </xf>
    <xf numFmtId="178" fontId="4" fillId="11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10" fontId="14" fillId="12" borderId="2" xfId="0" applyNumberFormat="1" applyFont="1" applyFill="1" applyBorder="1" applyAlignment="1">
      <alignment horizontal="center" vertical="center"/>
    </xf>
    <xf numFmtId="178" fontId="14" fillId="12" borderId="2" xfId="0" applyNumberFormat="1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right" vertical="center"/>
    </xf>
    <xf numFmtId="0" fontId="18" fillId="6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20" fillId="7" borderId="4" xfId="0" applyFont="1" applyFill="1" applyBorder="1" applyAlignment="1">
      <alignment horizontal="left" vertical="center"/>
    </xf>
    <xf numFmtId="0" fontId="21" fillId="8" borderId="5" xfId="0" applyFont="1" applyFill="1" applyBorder="1" applyAlignment="1">
      <alignment horizontal="left" vertical="center"/>
    </xf>
    <xf numFmtId="0" fontId="22" fillId="11" borderId="7" xfId="0" applyFont="1" applyFill="1" applyBorder="1" applyAlignment="1">
      <alignment horizontal="left" vertical="center"/>
    </xf>
    <xf numFmtId="0" fontId="23" fillId="11" borderId="2" xfId="0" applyFont="1" applyFill="1" applyBorder="1" applyAlignment="1">
      <alignment horizontal="right" vertical="center"/>
    </xf>
    <xf numFmtId="0" fontId="24" fillId="12" borderId="8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left" vertical="center"/>
    </xf>
    <xf numFmtId="0" fontId="12" fillId="14" borderId="3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left" vertical="center"/>
    </xf>
    <xf numFmtId="0" fontId="12" fillId="15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5" fillId="6" borderId="0" xfId="0" applyFont="1" applyFill="1" applyAlignment="1">
      <alignment horizontal="left" vertical="center"/>
    </xf>
    <xf numFmtId="0" fontId="26" fillId="3" borderId="1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8" fillId="13" borderId="6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left" vertical="center" wrapText="1"/>
    </xf>
    <xf numFmtId="0" fontId="30" fillId="7" borderId="2" xfId="0" applyFont="1" applyFill="1" applyBorder="1" applyAlignment="1">
      <alignment horizontal="left" vertical="center" wrapText="1"/>
    </xf>
    <xf numFmtId="0" fontId="31" fillId="13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32" fillId="0" borderId="0" xfId="0" applyFont="1"/>
    <xf numFmtId="0" fontId="33" fillId="4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2"/>
  <sheetViews>
    <sheetView showGridLines="0" tabSelected="1" workbookViewId="0">
      <selection activeCell="A1" sqref="A1"/>
    </sheetView>
  </sheetViews>
  <sheetFormatPr defaultColWidth="9" defaultRowHeight="15" outlineLevelCol="3"/>
  <cols>
    <col min="1" max="1" width="3" customWidth="1"/>
    <col min="2" max="2" width="30" customWidth="1"/>
    <col min="3" max="3" width="60" customWidth="1"/>
    <col min="4" max="4" width="20" customWidth="1"/>
  </cols>
  <sheetData>
    <row r="1" ht="28" customHeight="1" spans="2:4">
      <c r="B1" s="78" t="s">
        <v>0</v>
      </c>
    </row>
    <row r="2" ht="18" customHeight="1" spans="2:4">
      <c r="B2" s="79" t="s">
        <v>1</v>
      </c>
    </row>
    <row r="3" ht="8" customHeight="1"/>
    <row r="4" ht="15.75" spans="2:4">
      <c r="B4" s="13" t="s">
        <v>2</v>
      </c>
      <c r="C4" s="13" t="s">
        <v>3</v>
      </c>
      <c r="D4" s="13" t="s">
        <v>4</v>
      </c>
    </row>
    <row r="5" ht="22" customHeight="1" spans="2:4">
      <c r="B5" s="80" t="s">
        <v>5</v>
      </c>
      <c r="C5" s="4" t="s">
        <v>6</v>
      </c>
      <c r="D5" s="53" t="s">
        <v>7</v>
      </c>
    </row>
    <row r="6" ht="22" customHeight="1" spans="2:4">
      <c r="B6" s="80" t="s">
        <v>8</v>
      </c>
      <c r="C6" s="4" t="s">
        <v>9</v>
      </c>
      <c r="D6" s="53" t="s">
        <v>7</v>
      </c>
    </row>
    <row r="7" ht="22" customHeight="1" spans="2:4">
      <c r="B7" s="80" t="s">
        <v>10</v>
      </c>
      <c r="C7" s="4" t="s">
        <v>11</v>
      </c>
      <c r="D7" s="53" t="s">
        <v>7</v>
      </c>
    </row>
    <row r="8" ht="22" customHeight="1" spans="2:4">
      <c r="B8" s="80" t="s">
        <v>12</v>
      </c>
      <c r="C8" s="4" t="s">
        <v>13</v>
      </c>
      <c r="D8" s="81" t="s">
        <v>14</v>
      </c>
    </row>
    <row r="9" ht="22" customHeight="1" spans="2:4">
      <c r="B9" s="80" t="s">
        <v>15</v>
      </c>
      <c r="C9" s="4" t="s">
        <v>16</v>
      </c>
      <c r="D9" s="81" t="s">
        <v>14</v>
      </c>
    </row>
    <row r="10" ht="22" customHeight="1" spans="2:4">
      <c r="B10" s="80" t="s">
        <v>17</v>
      </c>
      <c r="C10" s="4" t="s">
        <v>18</v>
      </c>
      <c r="D10" s="81" t="s">
        <v>14</v>
      </c>
    </row>
    <row r="11" ht="22" customHeight="1" spans="2:4">
      <c r="B11" s="80" t="s">
        <v>19</v>
      </c>
      <c r="C11" s="4" t="s">
        <v>20</v>
      </c>
      <c r="D11" s="82" t="s">
        <v>21</v>
      </c>
    </row>
    <row r="12" ht="22" customHeight="1" spans="2:4">
      <c r="B12" s="80" t="s">
        <v>22</v>
      </c>
      <c r="C12" s="4" t="s">
        <v>23</v>
      </c>
      <c r="D12" s="83" t="s">
        <v>24</v>
      </c>
    </row>
  </sheetData>
  <mergeCells count="2">
    <mergeCell ref="B1:D1"/>
    <mergeCell ref="B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selection activeCell="A1" sqref="A1:G1"/>
    </sheetView>
  </sheetViews>
  <sheetFormatPr defaultColWidth="9" defaultRowHeight="15" outlineLevelCol="6"/>
  <cols>
    <col min="1" max="1" width="4" customWidth="1"/>
    <col min="2" max="2" width="65.2857142857143" customWidth="1"/>
    <col min="3" max="3" width="30" customWidth="1"/>
    <col min="4" max="4" width="22" customWidth="1"/>
    <col min="5" max="5" width="40" customWidth="1"/>
    <col min="6" max="6" width="25" customWidth="1"/>
    <col min="7" max="7" width="18" customWidth="1"/>
  </cols>
  <sheetData>
    <row r="1" ht="18" customHeight="1" spans="1:7">
      <c r="A1" s="1" t="s">
        <v>25</v>
      </c>
    </row>
    <row r="2" ht="32" customHeight="1" spans="1:7">
      <c r="A2" s="12" t="s">
        <v>26</v>
      </c>
    </row>
    <row r="3" ht="6" customHeight="1"/>
    <row r="4" ht="15.75" spans="1:7">
      <c r="A4" s="13" t="s">
        <v>27</v>
      </c>
      <c r="B4" s="13" t="s">
        <v>28</v>
      </c>
      <c r="C4" s="13" t="s">
        <v>29</v>
      </c>
      <c r="D4" s="13" t="s">
        <v>30</v>
      </c>
      <c r="E4" s="13" t="s">
        <v>31</v>
      </c>
      <c r="F4" s="13" t="s">
        <v>32</v>
      </c>
      <c r="G4" s="13" t="s">
        <v>33</v>
      </c>
    </row>
    <row r="5" ht="24" customHeight="1" spans="1:7">
      <c r="A5" s="69" t="s">
        <v>34</v>
      </c>
      <c r="B5" s="69" t="s">
        <v>35</v>
      </c>
      <c r="C5" s="15" t="s">
        <v>36</v>
      </c>
      <c r="D5" s="15" t="s">
        <v>37</v>
      </c>
      <c r="E5" s="4" t="s">
        <v>38</v>
      </c>
      <c r="F5" s="15" t="s">
        <v>39</v>
      </c>
      <c r="G5" s="15" t="s">
        <v>40</v>
      </c>
    </row>
    <row r="6" ht="24" customHeight="1" spans="1:7">
      <c r="A6" s="36" t="s">
        <v>41</v>
      </c>
      <c r="B6" s="36" t="s">
        <v>42</v>
      </c>
      <c r="C6" s="20" t="s">
        <v>43</v>
      </c>
      <c r="D6" s="20" t="s">
        <v>44</v>
      </c>
      <c r="E6" s="5" t="s">
        <v>45</v>
      </c>
      <c r="F6" s="20" t="s">
        <v>39</v>
      </c>
      <c r="G6" s="20" t="s">
        <v>46</v>
      </c>
    </row>
    <row r="7" ht="24" customHeight="1" spans="1:7">
      <c r="A7" s="69" t="s">
        <v>47</v>
      </c>
      <c r="B7" s="69" t="s">
        <v>48</v>
      </c>
      <c r="C7" s="15" t="s">
        <v>49</v>
      </c>
      <c r="D7" s="15" t="s">
        <v>50</v>
      </c>
      <c r="E7" s="4" t="s">
        <v>51</v>
      </c>
      <c r="F7" s="15" t="s">
        <v>39</v>
      </c>
      <c r="G7" s="15" t="s">
        <v>52</v>
      </c>
    </row>
    <row r="8" ht="24" customHeight="1" spans="1:7">
      <c r="A8" s="36" t="s">
        <v>53</v>
      </c>
      <c r="B8" s="36" t="s">
        <v>54</v>
      </c>
      <c r="C8" s="20" t="s">
        <v>55</v>
      </c>
      <c r="D8" s="20" t="s">
        <v>56</v>
      </c>
      <c r="E8" s="5" t="s">
        <v>57</v>
      </c>
      <c r="F8" s="20" t="s">
        <v>58</v>
      </c>
      <c r="G8" s="20" t="s">
        <v>59</v>
      </c>
    </row>
    <row r="9" ht="24" customHeight="1" spans="1:7">
      <c r="A9" s="69" t="s">
        <v>60</v>
      </c>
      <c r="B9" s="69" t="s">
        <v>61</v>
      </c>
      <c r="C9" s="15" t="s">
        <v>62</v>
      </c>
      <c r="D9" s="15" t="s">
        <v>63</v>
      </c>
      <c r="E9" s="4" t="s">
        <v>64</v>
      </c>
      <c r="F9" s="15" t="s">
        <v>58</v>
      </c>
      <c r="G9" s="15" t="s">
        <v>65</v>
      </c>
    </row>
    <row r="10" ht="24" customHeight="1" spans="1:7">
      <c r="A10" s="36" t="s">
        <v>66</v>
      </c>
      <c r="B10" s="36" t="s">
        <v>67</v>
      </c>
      <c r="C10" s="20" t="s">
        <v>68</v>
      </c>
      <c r="D10" s="20" t="s">
        <v>69</v>
      </c>
      <c r="E10" s="5" t="s">
        <v>70</v>
      </c>
      <c r="F10" s="20" t="s">
        <v>39</v>
      </c>
      <c r="G10" s="20" t="s">
        <v>71</v>
      </c>
    </row>
    <row r="11" ht="24" customHeight="1" spans="1:7">
      <c r="A11" s="69" t="s">
        <v>72</v>
      </c>
      <c r="B11" s="69" t="s">
        <v>73</v>
      </c>
      <c r="C11" s="15" t="s">
        <v>74</v>
      </c>
      <c r="D11" s="15" t="s">
        <v>75</v>
      </c>
      <c r="E11" s="4" t="s">
        <v>76</v>
      </c>
      <c r="F11" s="15" t="s">
        <v>77</v>
      </c>
      <c r="G11" s="15" t="s">
        <v>52</v>
      </c>
    </row>
    <row r="12" ht="24" customHeight="1" spans="1:7">
      <c r="A12" s="36" t="s">
        <v>78</v>
      </c>
      <c r="B12" s="36" t="s">
        <v>79</v>
      </c>
      <c r="C12" s="20" t="s">
        <v>80</v>
      </c>
      <c r="D12" s="20" t="s">
        <v>81</v>
      </c>
      <c r="E12" s="5" t="s">
        <v>82</v>
      </c>
      <c r="F12" s="20" t="s">
        <v>83</v>
      </c>
      <c r="G12" s="20" t="s">
        <v>71</v>
      </c>
    </row>
    <row r="13" ht="24" customHeight="1" spans="1:7">
      <c r="A13" s="69" t="s">
        <v>84</v>
      </c>
      <c r="B13" s="69" t="s">
        <v>85</v>
      </c>
      <c r="C13" s="15" t="s">
        <v>86</v>
      </c>
      <c r="D13" s="15" t="s">
        <v>87</v>
      </c>
      <c r="E13" s="4" t="s">
        <v>88</v>
      </c>
      <c r="F13" s="15" t="s">
        <v>89</v>
      </c>
      <c r="G13" s="15" t="s">
        <v>52</v>
      </c>
    </row>
    <row r="14" ht="24" customHeight="1" spans="1:7">
      <c r="A14" s="36" t="s">
        <v>90</v>
      </c>
      <c r="B14" s="36" t="s">
        <v>91</v>
      </c>
      <c r="C14" s="20" t="s">
        <v>92</v>
      </c>
      <c r="D14" s="20" t="s">
        <v>93</v>
      </c>
      <c r="E14" s="5" t="s">
        <v>94</v>
      </c>
      <c r="F14" s="20" t="s">
        <v>95</v>
      </c>
      <c r="G14" s="20" t="s">
        <v>71</v>
      </c>
    </row>
    <row r="15" ht="26" customHeight="1" spans="1:7">
      <c r="A15" s="39" t="s">
        <v>96</v>
      </c>
      <c r="B15" s="39" t="s">
        <v>97</v>
      </c>
      <c r="C15" s="38" t="s">
        <v>98</v>
      </c>
      <c r="D15" s="38" t="s">
        <v>99</v>
      </c>
      <c r="E15" s="76" t="s">
        <v>100</v>
      </c>
      <c r="F15" s="38" t="s">
        <v>101</v>
      </c>
      <c r="G15" s="38" t="s">
        <v>102</v>
      </c>
    </row>
    <row r="16" ht="26" customHeight="1" spans="1:7">
      <c r="A16" s="39" t="s">
        <v>103</v>
      </c>
      <c r="B16" s="39" t="s">
        <v>104</v>
      </c>
      <c r="C16" s="38" t="s">
        <v>105</v>
      </c>
      <c r="D16" s="38" t="s">
        <v>106</v>
      </c>
      <c r="E16" s="76" t="s">
        <v>107</v>
      </c>
      <c r="F16" s="38" t="s">
        <v>108</v>
      </c>
      <c r="G16" s="38" t="s">
        <v>109</v>
      </c>
    </row>
    <row r="17" ht="26" customHeight="1" spans="1:7">
      <c r="A17" s="39" t="s">
        <v>110</v>
      </c>
      <c r="B17" s="39" t="s">
        <v>111</v>
      </c>
      <c r="C17" s="38" t="s">
        <v>112</v>
      </c>
      <c r="D17" s="38" t="s">
        <v>113</v>
      </c>
      <c r="E17" s="76" t="s">
        <v>114</v>
      </c>
      <c r="F17" s="38" t="s">
        <v>115</v>
      </c>
      <c r="G17" s="38" t="s">
        <v>46</v>
      </c>
    </row>
    <row r="18" ht="8" customHeight="1"/>
    <row r="19" spans="1:7">
      <c r="B19" s="77" t="s">
        <v>116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workbookViewId="0">
      <selection activeCell="A1" sqref="A1:K1"/>
    </sheetView>
  </sheetViews>
  <sheetFormatPr defaultColWidth="9" defaultRowHeight="15"/>
  <cols>
    <col min="1" max="1" width="4" customWidth="1"/>
    <col min="2" max="2" width="28" customWidth="1"/>
    <col min="3" max="3" width="18" customWidth="1"/>
    <col min="4" max="7" width="10" customWidth="1"/>
    <col min="8" max="10" width="14" customWidth="1"/>
    <col min="11" max="11" width="20" customWidth="1"/>
  </cols>
  <sheetData>
    <row r="1" ht="18" customHeight="1" spans="1:11">
      <c r="A1" s="1" t="s">
        <v>117</v>
      </c>
    </row>
    <row r="2" ht="32" customHeight="1" spans="1:11">
      <c r="A2" s="71" t="s">
        <v>118</v>
      </c>
    </row>
    <row r="3" ht="6" customHeight="1"/>
    <row r="4" ht="39" spans="1:11">
      <c r="A4" s="13" t="s">
        <v>29</v>
      </c>
      <c r="B4" s="13" t="s">
        <v>119</v>
      </c>
      <c r="C4" s="13" t="s">
        <v>120</v>
      </c>
      <c r="D4" s="13" t="s">
        <v>121</v>
      </c>
      <c r="E4" s="13" t="s">
        <v>122</v>
      </c>
      <c r="F4" s="13" t="s">
        <v>123</v>
      </c>
      <c r="G4" s="13" t="s">
        <v>124</v>
      </c>
      <c r="H4" s="13" t="s">
        <v>125</v>
      </c>
      <c r="I4" s="13" t="s">
        <v>126</v>
      </c>
      <c r="J4" s="13" t="s">
        <v>127</v>
      </c>
      <c r="K4" s="13" t="s">
        <v>128</v>
      </c>
    </row>
    <row r="5" ht="22" customHeight="1" spans="1:11">
      <c r="A5" s="72" t="s">
        <v>35</v>
      </c>
      <c r="B5" s="14" t="s">
        <v>129</v>
      </c>
      <c r="C5" s="14" t="s">
        <v>130</v>
      </c>
      <c r="D5" s="69">
        <v>45</v>
      </c>
      <c r="E5" s="69">
        <v>55</v>
      </c>
      <c r="F5" s="69">
        <v>68</v>
      </c>
      <c r="G5" s="69">
        <v>18</v>
      </c>
      <c r="H5" s="18">
        <v>0.01</v>
      </c>
      <c r="I5" s="18">
        <v>0.03</v>
      </c>
      <c r="J5" s="14">
        <v>50</v>
      </c>
      <c r="K5" s="4" t="s">
        <v>131</v>
      </c>
    </row>
    <row r="6" ht="22" customHeight="1" spans="1:11">
      <c r="A6" s="73" t="s">
        <v>42</v>
      </c>
      <c r="B6" s="19" t="s">
        <v>129</v>
      </c>
      <c r="C6" s="19" t="s">
        <v>130</v>
      </c>
      <c r="D6" s="36">
        <v>40</v>
      </c>
      <c r="E6" s="36">
        <v>52</v>
      </c>
      <c r="F6" s="36">
        <v>65</v>
      </c>
      <c r="G6" s="36">
        <v>22</v>
      </c>
      <c r="H6" s="23">
        <v>0.012</v>
      </c>
      <c r="I6" s="23">
        <v>0.04</v>
      </c>
      <c r="J6" s="19">
        <v>50</v>
      </c>
      <c r="K6" s="5" t="s">
        <v>132</v>
      </c>
    </row>
    <row r="7" ht="22" customHeight="1" spans="1:11">
      <c r="A7" s="72" t="s">
        <v>48</v>
      </c>
      <c r="B7" s="14" t="s">
        <v>129</v>
      </c>
      <c r="C7" s="14" t="s">
        <v>130</v>
      </c>
      <c r="D7" s="69">
        <v>48</v>
      </c>
      <c r="E7" s="69">
        <v>58</v>
      </c>
      <c r="F7" s="69">
        <v>72</v>
      </c>
      <c r="G7" s="69">
        <v>25</v>
      </c>
      <c r="H7" s="18">
        <v>0.015</v>
      </c>
      <c r="I7" s="18">
        <v>0.05</v>
      </c>
      <c r="J7" s="14">
        <v>50</v>
      </c>
      <c r="K7" s="4" t="s">
        <v>133</v>
      </c>
    </row>
    <row r="8" ht="22" customHeight="1" spans="1:11">
      <c r="A8" s="73" t="s">
        <v>54</v>
      </c>
      <c r="B8" s="19" t="s">
        <v>130</v>
      </c>
      <c r="C8" s="19" t="s">
        <v>83</v>
      </c>
      <c r="D8" s="36">
        <v>42</v>
      </c>
      <c r="E8" s="36">
        <v>50</v>
      </c>
      <c r="F8" s="36">
        <v>65</v>
      </c>
      <c r="G8" s="36">
        <v>15</v>
      </c>
      <c r="H8" s="23">
        <v>0.01</v>
      </c>
      <c r="I8" s="23">
        <v>0.025</v>
      </c>
      <c r="J8" s="19">
        <v>50</v>
      </c>
      <c r="K8" s="5" t="s">
        <v>134</v>
      </c>
    </row>
    <row r="9" ht="22" customHeight="1" spans="1:11">
      <c r="A9" s="74" t="s">
        <v>61</v>
      </c>
      <c r="B9" s="24" t="s">
        <v>130</v>
      </c>
      <c r="C9" s="24" t="s">
        <v>83</v>
      </c>
      <c r="D9" s="26">
        <v>38</v>
      </c>
      <c r="E9" s="26">
        <v>48</v>
      </c>
      <c r="F9" s="26">
        <v>62</v>
      </c>
      <c r="G9" s="26">
        <v>12</v>
      </c>
      <c r="H9" s="29">
        <v>0.005</v>
      </c>
      <c r="I9" s="29">
        <v>0.015</v>
      </c>
      <c r="J9" s="24">
        <v>100</v>
      </c>
      <c r="K9" s="75" t="s">
        <v>135</v>
      </c>
    </row>
    <row r="10" ht="22" customHeight="1" spans="1:11">
      <c r="A10" s="73" t="s">
        <v>67</v>
      </c>
      <c r="B10" s="19" t="s">
        <v>129</v>
      </c>
      <c r="C10" s="19" t="s">
        <v>130</v>
      </c>
      <c r="D10" s="36">
        <v>42</v>
      </c>
      <c r="E10" s="36">
        <v>52</v>
      </c>
      <c r="F10" s="36">
        <v>65</v>
      </c>
      <c r="G10" s="36">
        <v>15</v>
      </c>
      <c r="H10" s="23">
        <v>0.008</v>
      </c>
      <c r="I10" s="23">
        <v>0.025</v>
      </c>
      <c r="J10" s="19">
        <v>50</v>
      </c>
      <c r="K10" s="5" t="s">
        <v>136</v>
      </c>
    </row>
    <row r="11" ht="22" customHeight="1" spans="1:11">
      <c r="A11" s="74" t="s">
        <v>137</v>
      </c>
      <c r="B11" s="24" t="s">
        <v>130</v>
      </c>
      <c r="C11" s="24" t="s">
        <v>83</v>
      </c>
      <c r="D11" s="26">
        <v>38</v>
      </c>
      <c r="E11" s="26">
        <v>48</v>
      </c>
      <c r="F11" s="26">
        <v>60</v>
      </c>
      <c r="G11" s="26">
        <v>12</v>
      </c>
      <c r="H11" s="29">
        <v>0.005</v>
      </c>
      <c r="I11" s="29">
        <v>0.015</v>
      </c>
      <c r="J11" s="24">
        <v>100</v>
      </c>
      <c r="K11" s="75" t="s">
        <v>138</v>
      </c>
    </row>
    <row r="12" ht="22" customHeight="1" spans="1:11">
      <c r="A12" s="73" t="s">
        <v>73</v>
      </c>
      <c r="B12" s="19" t="s">
        <v>130</v>
      </c>
      <c r="C12" s="19" t="s">
        <v>139</v>
      </c>
      <c r="D12" s="36">
        <v>40</v>
      </c>
      <c r="E12" s="36">
        <v>55</v>
      </c>
      <c r="F12" s="36">
        <v>68</v>
      </c>
      <c r="G12" s="36">
        <v>22</v>
      </c>
      <c r="H12" s="23">
        <v>0.015</v>
      </c>
      <c r="I12" s="23">
        <v>0.06</v>
      </c>
      <c r="J12" s="19">
        <v>50</v>
      </c>
      <c r="K12" s="5" t="s">
        <v>140</v>
      </c>
    </row>
    <row r="13" ht="22" customHeight="1" spans="1:11">
      <c r="A13" s="74" t="s">
        <v>79</v>
      </c>
      <c r="B13" s="24" t="s">
        <v>83</v>
      </c>
      <c r="C13" s="24" t="s">
        <v>139</v>
      </c>
      <c r="D13" s="26">
        <v>38</v>
      </c>
      <c r="E13" s="26">
        <v>52</v>
      </c>
      <c r="F13" s="26">
        <v>68</v>
      </c>
      <c r="G13" s="26">
        <v>18</v>
      </c>
      <c r="H13" s="29">
        <v>0.015</v>
      </c>
      <c r="I13" s="29">
        <v>0.04</v>
      </c>
      <c r="J13" s="24">
        <v>50</v>
      </c>
      <c r="K13" s="75" t="s">
        <v>141</v>
      </c>
    </row>
    <row r="14" ht="22" customHeight="1" spans="1:11">
      <c r="A14" s="73" t="s">
        <v>85</v>
      </c>
      <c r="B14" s="19" t="s">
        <v>130</v>
      </c>
      <c r="C14" s="19" t="s">
        <v>142</v>
      </c>
      <c r="D14" s="36">
        <v>38</v>
      </c>
      <c r="E14" s="36">
        <v>50</v>
      </c>
      <c r="F14" s="36">
        <v>65</v>
      </c>
      <c r="G14" s="36">
        <v>20</v>
      </c>
      <c r="H14" s="23">
        <v>0.012</v>
      </c>
      <c r="I14" s="23">
        <v>0.05</v>
      </c>
      <c r="J14" s="19">
        <v>30</v>
      </c>
      <c r="K14" s="5" t="s">
        <v>143</v>
      </c>
    </row>
    <row r="15" ht="22" customHeight="1" spans="1:11">
      <c r="A15" s="72" t="s">
        <v>91</v>
      </c>
      <c r="B15" s="14" t="s">
        <v>130</v>
      </c>
      <c r="C15" s="14" t="s">
        <v>144</v>
      </c>
      <c r="D15" s="69">
        <v>42</v>
      </c>
      <c r="E15" s="69">
        <v>52</v>
      </c>
      <c r="F15" s="69">
        <v>65</v>
      </c>
      <c r="G15" s="69">
        <v>15</v>
      </c>
      <c r="H15" s="18">
        <v>0.01</v>
      </c>
      <c r="I15" s="18">
        <v>0.03</v>
      </c>
      <c r="J15" s="14">
        <v>50</v>
      </c>
      <c r="K15" s="4" t="s">
        <v>145</v>
      </c>
    </row>
    <row r="16" ht="22" customHeight="1" spans="1:11">
      <c r="A16" s="73" t="s">
        <v>146</v>
      </c>
      <c r="B16" s="19" t="s">
        <v>139</v>
      </c>
      <c r="C16" s="19" t="s">
        <v>139</v>
      </c>
      <c r="D16" s="36">
        <v>0</v>
      </c>
      <c r="E16" s="36">
        <v>0</v>
      </c>
      <c r="F16" s="36">
        <v>0</v>
      </c>
      <c r="G16" s="36">
        <v>0</v>
      </c>
      <c r="H16" s="23">
        <v>0</v>
      </c>
      <c r="I16" s="23">
        <v>0.005</v>
      </c>
      <c r="J16" s="19">
        <v>100</v>
      </c>
      <c r="K16" s="5" t="s">
        <v>147</v>
      </c>
    </row>
    <row r="17" ht="22" customHeight="1" spans="1:11">
      <c r="A17" s="70" t="s">
        <v>97</v>
      </c>
      <c r="B17" s="37" t="s">
        <v>129</v>
      </c>
      <c r="C17" s="37" t="s">
        <v>83</v>
      </c>
      <c r="D17" s="39">
        <v>35</v>
      </c>
      <c r="E17" s="39">
        <v>52</v>
      </c>
      <c r="F17" s="39">
        <v>70</v>
      </c>
      <c r="G17" s="39">
        <v>28</v>
      </c>
      <c r="H17" s="42">
        <v>0.03</v>
      </c>
      <c r="I17" s="42">
        <v>0.15</v>
      </c>
      <c r="J17" s="37">
        <v>100</v>
      </c>
      <c r="K17" s="76" t="s">
        <v>148</v>
      </c>
    </row>
    <row r="18" ht="22" customHeight="1" spans="1:11">
      <c r="A18" s="70" t="s">
        <v>104</v>
      </c>
      <c r="B18" s="37" t="s">
        <v>129</v>
      </c>
      <c r="C18" s="37" t="s">
        <v>149</v>
      </c>
      <c r="D18" s="39">
        <v>45</v>
      </c>
      <c r="E18" s="39">
        <v>58</v>
      </c>
      <c r="F18" s="39">
        <v>65</v>
      </c>
      <c r="G18" s="39">
        <v>28</v>
      </c>
      <c r="H18" s="42">
        <v>0.02</v>
      </c>
      <c r="I18" s="42">
        <v>0.2</v>
      </c>
      <c r="J18" s="37">
        <v>50</v>
      </c>
      <c r="K18" s="76" t="s">
        <v>150</v>
      </c>
    </row>
    <row r="19" ht="22" customHeight="1" spans="1:11">
      <c r="A19" s="70" t="s">
        <v>111</v>
      </c>
      <c r="B19" s="37" t="s">
        <v>130</v>
      </c>
      <c r="C19" s="37" t="s">
        <v>151</v>
      </c>
      <c r="D19" s="39">
        <v>40</v>
      </c>
      <c r="E19" s="39">
        <v>55</v>
      </c>
      <c r="F19" s="39">
        <v>65</v>
      </c>
      <c r="G19" s="39">
        <v>15</v>
      </c>
      <c r="H19" s="42">
        <v>0.008</v>
      </c>
      <c r="I19" s="42">
        <v>0.03</v>
      </c>
      <c r="J19" s="37">
        <v>50</v>
      </c>
      <c r="K19" s="76" t="s">
        <v>152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workbookViewId="0">
      <selection activeCell="A1" sqref="A1:F1"/>
    </sheetView>
  </sheetViews>
  <sheetFormatPr defaultColWidth="9" defaultRowHeight="15" outlineLevelCol="6"/>
  <cols>
    <col min="1" max="1" width="4" customWidth="1"/>
    <col min="2" max="2" width="28" customWidth="1"/>
    <col min="3" max="3" width="16" customWidth="1"/>
    <col min="4" max="5" width="50" customWidth="1"/>
    <col min="6" max="6" width="30" customWidth="1"/>
  </cols>
  <sheetData>
    <row r="1" ht="18" customHeight="1" spans="1:6">
      <c r="A1" s="1" t="s">
        <v>153</v>
      </c>
    </row>
    <row r="2" ht="32" customHeight="1" spans="1:6">
      <c r="A2" s="12" t="s">
        <v>154</v>
      </c>
    </row>
    <row r="3" ht="10" customHeight="1"/>
    <row r="4" ht="24" customHeight="1" spans="1:6">
      <c r="B4" s="62" t="s">
        <v>155</v>
      </c>
      <c r="D4" s="63" t="s">
        <v>156</v>
      </c>
      <c r="F4" s="64" t="s">
        <v>157</v>
      </c>
    </row>
    <row r="5" ht="40" customHeight="1" spans="1:6">
      <c r="B5" s="65" t="s">
        <v>158</v>
      </c>
      <c r="C5" s="66" t="s">
        <v>159</v>
      </c>
      <c r="D5" s="67" t="s">
        <v>160</v>
      </c>
      <c r="E5" s="68" t="s">
        <v>161</v>
      </c>
    </row>
    <row r="6" ht="40" customHeight="1" spans="1:6">
      <c r="B6" s="65" t="s">
        <v>162</v>
      </c>
      <c r="C6" s="66" t="s">
        <v>163</v>
      </c>
      <c r="D6" s="67" t="s">
        <v>164</v>
      </c>
      <c r="E6" s="68" t="s">
        <v>165</v>
      </c>
    </row>
    <row r="7" ht="40" customHeight="1" spans="1:6">
      <c r="B7" s="65" t="s">
        <v>166</v>
      </c>
      <c r="C7" s="66" t="s">
        <v>167</v>
      </c>
      <c r="D7" s="67" t="s">
        <v>168</v>
      </c>
      <c r="E7" s="68" t="s">
        <v>169</v>
      </c>
    </row>
    <row r="8" ht="40" customHeight="1" spans="1:6">
      <c r="B8" s="65" t="s">
        <v>170</v>
      </c>
      <c r="C8" s="66" t="s">
        <v>171</v>
      </c>
      <c r="D8" s="67" t="s">
        <v>172</v>
      </c>
      <c r="E8" s="68" t="s">
        <v>173</v>
      </c>
    </row>
    <row r="10" ht="12" customHeight="1"/>
    <row r="11" ht="18" customHeight="1" spans="1:6">
      <c r="A11" s="1" t="s">
        <v>174</v>
      </c>
    </row>
    <row r="12" ht="15.75" spans="1:6">
      <c r="B12" s="13" t="s">
        <v>29</v>
      </c>
      <c r="C12" s="13" t="s">
        <v>175</v>
      </c>
      <c r="D12" s="13" t="s">
        <v>176</v>
      </c>
    </row>
    <row r="13" ht="20" customHeight="1" spans="1:6">
      <c r="B13" s="15" t="s">
        <v>35</v>
      </c>
      <c r="C13" s="69" t="s">
        <v>177</v>
      </c>
      <c r="D13" s="15" t="s">
        <v>178</v>
      </c>
    </row>
    <row r="14" ht="20" customHeight="1" spans="1:6">
      <c r="B14" s="20" t="s">
        <v>42</v>
      </c>
      <c r="C14" s="36" t="s">
        <v>179</v>
      </c>
      <c r="D14" s="20" t="s">
        <v>180</v>
      </c>
    </row>
    <row r="15" ht="20" customHeight="1" spans="1:6">
      <c r="B15" s="15" t="s">
        <v>48</v>
      </c>
      <c r="C15" s="69" t="s">
        <v>181</v>
      </c>
      <c r="D15" s="15" t="s">
        <v>182</v>
      </c>
    </row>
    <row r="16" ht="20" customHeight="1" spans="1:6">
      <c r="B16" s="20" t="s">
        <v>61</v>
      </c>
      <c r="C16" s="36" t="s">
        <v>183</v>
      </c>
      <c r="D16" s="20" t="s">
        <v>184</v>
      </c>
    </row>
    <row r="17" ht="20" customHeight="1" spans="2:4">
      <c r="B17" s="15" t="s">
        <v>79</v>
      </c>
      <c r="C17" s="69" t="s">
        <v>181</v>
      </c>
      <c r="D17" s="15" t="s">
        <v>182</v>
      </c>
    </row>
    <row r="18" ht="20" customHeight="1" spans="2:4">
      <c r="B18" s="70" t="s">
        <v>97</v>
      </c>
      <c r="C18" s="39" t="s">
        <v>185</v>
      </c>
      <c r="D18" s="38" t="s">
        <v>186</v>
      </c>
    </row>
    <row r="19" ht="20" customHeight="1" spans="2:4">
      <c r="B19" s="70" t="s">
        <v>104</v>
      </c>
      <c r="C19" s="39" t="s">
        <v>187</v>
      </c>
      <c r="D19" s="38" t="s">
        <v>188</v>
      </c>
    </row>
    <row r="20" ht="20" customHeight="1" spans="2:4">
      <c r="B20" s="70" t="s">
        <v>111</v>
      </c>
      <c r="C20" s="39" t="s">
        <v>189</v>
      </c>
      <c r="D20" s="38" t="s">
        <v>190</v>
      </c>
    </row>
  </sheetData>
  <mergeCells count="6">
    <mergeCell ref="A1:F1"/>
    <mergeCell ref="A2:F2"/>
    <mergeCell ref="B4:C4"/>
    <mergeCell ref="D4:E4"/>
    <mergeCell ref="F4:G4"/>
    <mergeCell ref="A11:F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showGridLines="0" workbookViewId="0">
      <selection activeCell="A1" sqref="A1:E1"/>
    </sheetView>
  </sheetViews>
  <sheetFormatPr defaultColWidth="9" defaultRowHeight="15" outlineLevelCol="4"/>
  <cols>
    <col min="1" max="1" width="4" customWidth="1"/>
    <col min="2" max="2" width="35" customWidth="1"/>
    <col min="3" max="3" width="20" customWidth="1"/>
    <col min="4" max="4" width="45" customWidth="1"/>
    <col min="5" max="5" width="30" customWidth="1"/>
  </cols>
  <sheetData>
    <row r="1" ht="18" customHeight="1" spans="1:5">
      <c r="A1" s="1" t="s">
        <v>191</v>
      </c>
    </row>
    <row r="2" ht="10" customHeight="1"/>
    <row r="3" ht="18" customHeight="1" spans="1:5">
      <c r="A3" s="1" t="s">
        <v>192</v>
      </c>
    </row>
    <row r="4" ht="15.75" spans="1:5">
      <c r="B4" s="13" t="s">
        <v>193</v>
      </c>
      <c r="C4" s="13" t="s">
        <v>158</v>
      </c>
      <c r="D4" s="13" t="s">
        <v>194</v>
      </c>
      <c r="E4" s="13" t="s">
        <v>195</v>
      </c>
    </row>
    <row r="5" ht="24" customHeight="1" spans="1:5">
      <c r="B5" s="26" t="s">
        <v>196</v>
      </c>
      <c r="C5" s="4" t="s">
        <v>197</v>
      </c>
      <c r="D5" s="53" t="s">
        <v>198</v>
      </c>
      <c r="E5" s="4" t="s">
        <v>199</v>
      </c>
    </row>
    <row r="6" ht="24" customHeight="1" spans="1:5">
      <c r="B6" s="26" t="s">
        <v>200</v>
      </c>
      <c r="C6" s="5" t="s">
        <v>201</v>
      </c>
      <c r="D6" s="53" t="s">
        <v>198</v>
      </c>
      <c r="E6" s="5" t="s">
        <v>202</v>
      </c>
    </row>
    <row r="7" ht="24" customHeight="1" spans="1:5">
      <c r="B7" s="26" t="s">
        <v>203</v>
      </c>
      <c r="C7" s="4" t="s">
        <v>204</v>
      </c>
      <c r="D7" s="53" t="s">
        <v>198</v>
      </c>
      <c r="E7" s="4" t="s">
        <v>205</v>
      </c>
    </row>
    <row r="8" ht="24" customHeight="1" spans="1:5">
      <c r="B8" s="26" t="s">
        <v>206</v>
      </c>
      <c r="C8" s="5" t="s">
        <v>207</v>
      </c>
      <c r="D8" s="53" t="s">
        <v>198</v>
      </c>
      <c r="E8" s="5" t="s">
        <v>208</v>
      </c>
    </row>
    <row r="9" ht="24" customHeight="1" spans="1:5">
      <c r="B9" s="26" t="s">
        <v>209</v>
      </c>
      <c r="C9" s="4" t="s">
        <v>210</v>
      </c>
      <c r="D9" s="53" t="s">
        <v>198</v>
      </c>
      <c r="E9" s="4" t="s">
        <v>211</v>
      </c>
    </row>
    <row r="10" ht="24" customHeight="1" spans="1:5">
      <c r="B10" s="26" t="s">
        <v>212</v>
      </c>
      <c r="C10" s="5" t="s">
        <v>213</v>
      </c>
      <c r="D10" s="53" t="s">
        <v>198</v>
      </c>
      <c r="E10" s="5" t="s">
        <v>214</v>
      </c>
    </row>
    <row r="12" ht="10" customHeight="1"/>
    <row r="13" ht="18" customHeight="1" spans="1:5">
      <c r="A13" s="54" t="s">
        <v>215</v>
      </c>
    </row>
    <row r="14" ht="15.75" spans="1:5">
      <c r="B14" s="55" t="s">
        <v>216</v>
      </c>
      <c r="C14" s="55" t="s">
        <v>194</v>
      </c>
      <c r="D14" s="55" t="s">
        <v>217</v>
      </c>
    </row>
    <row r="15" ht="22" customHeight="1" spans="1:5">
      <c r="B15" s="56" t="s">
        <v>218</v>
      </c>
      <c r="C15" s="57" t="s">
        <v>219</v>
      </c>
      <c r="D15" s="4" t="s">
        <v>220</v>
      </c>
    </row>
    <row r="16" ht="22" customHeight="1" spans="1:5">
      <c r="B16" s="56" t="s">
        <v>221</v>
      </c>
      <c r="C16" s="57" t="s">
        <v>222</v>
      </c>
      <c r="D16" s="5" t="s">
        <v>223</v>
      </c>
    </row>
    <row r="17" ht="22" customHeight="1" spans="1:4">
      <c r="B17" s="56" t="s">
        <v>224</v>
      </c>
      <c r="C17" s="57" t="s">
        <v>219</v>
      </c>
      <c r="D17" s="4" t="s">
        <v>225</v>
      </c>
    </row>
    <row r="18" ht="22" customHeight="1" spans="1:4">
      <c r="B18" s="56" t="s">
        <v>226</v>
      </c>
      <c r="C18" s="57" t="s">
        <v>222</v>
      </c>
      <c r="D18" s="5" t="s">
        <v>227</v>
      </c>
    </row>
    <row r="19" ht="22" customHeight="1" spans="1:4">
      <c r="B19" s="56" t="s">
        <v>228</v>
      </c>
      <c r="C19" s="57" t="s">
        <v>222</v>
      </c>
      <c r="D19" s="4" t="s">
        <v>229</v>
      </c>
    </row>
    <row r="20" ht="22" customHeight="1" spans="1:4">
      <c r="B20" s="56" t="s">
        <v>230</v>
      </c>
      <c r="C20" s="57" t="s">
        <v>222</v>
      </c>
      <c r="D20" s="5" t="s">
        <v>231</v>
      </c>
    </row>
    <row r="22" ht="10" customHeight="1"/>
    <row r="23" ht="18" customHeight="1" spans="1:4">
      <c r="A23" s="58" t="s">
        <v>232</v>
      </c>
    </row>
    <row r="24" ht="15.75" spans="1:4">
      <c r="B24" s="59" t="s">
        <v>233</v>
      </c>
      <c r="C24" s="59" t="s">
        <v>194</v>
      </c>
      <c r="D24" s="59" t="s">
        <v>217</v>
      </c>
    </row>
    <row r="25" ht="22" customHeight="1" spans="1:4">
      <c r="B25" s="60" t="s">
        <v>234</v>
      </c>
      <c r="C25" s="53" t="s">
        <v>235</v>
      </c>
      <c r="D25" s="4" t="s">
        <v>236</v>
      </c>
    </row>
    <row r="26" ht="22" customHeight="1" spans="1:4">
      <c r="B26" s="60" t="s">
        <v>237</v>
      </c>
      <c r="C26" s="53" t="s">
        <v>238</v>
      </c>
      <c r="D26" s="5" t="s">
        <v>239</v>
      </c>
    </row>
    <row r="27" ht="22" customHeight="1" spans="1:4">
      <c r="B27" s="60" t="s">
        <v>240</v>
      </c>
      <c r="C27" s="53" t="s">
        <v>235</v>
      </c>
      <c r="D27" s="4" t="s">
        <v>241</v>
      </c>
    </row>
    <row r="28" ht="22" customHeight="1" spans="1:4">
      <c r="B28" s="60" t="s">
        <v>242</v>
      </c>
      <c r="C28" s="53" t="s">
        <v>238</v>
      </c>
      <c r="D28" s="5" t="s">
        <v>243</v>
      </c>
    </row>
    <row r="30" ht="10" customHeight="1"/>
    <row r="31" ht="22" customHeight="1" spans="1:4">
      <c r="B31" s="61" t="s">
        <v>244</v>
      </c>
    </row>
  </sheetData>
  <mergeCells count="5">
    <mergeCell ref="A1:E1"/>
    <mergeCell ref="A3:E3"/>
    <mergeCell ref="A13:E13"/>
    <mergeCell ref="A23:E23"/>
    <mergeCell ref="B31:E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showGridLines="0" workbookViewId="0">
      <selection activeCell="A1" sqref="A1:E1"/>
    </sheetView>
  </sheetViews>
  <sheetFormatPr defaultColWidth="9" defaultRowHeight="15" outlineLevelCol="4"/>
  <cols>
    <col min="1" max="1" width="4" customWidth="1"/>
    <col min="2" max="2" width="28" customWidth="1"/>
    <col min="3" max="3" width="40" customWidth="1"/>
    <col min="4" max="4" width="38" customWidth="1"/>
    <col min="5" max="5" width="32" customWidth="1"/>
  </cols>
  <sheetData>
    <row r="1" ht="18" customHeight="1" spans="1:3">
      <c r="A1" s="1" t="s">
        <v>245</v>
      </c>
    </row>
    <row r="2" ht="15.75"/>
    <row r="3" ht="22" customHeight="1" spans="1:3">
      <c r="B3" s="45" t="s">
        <v>246</v>
      </c>
    </row>
    <row r="4" ht="18" customHeight="1" spans="1:3">
      <c r="B4" s="7" t="s">
        <v>247</v>
      </c>
      <c r="C4" s="4" t="s">
        <v>248</v>
      </c>
    </row>
    <row r="5" ht="18" customHeight="1" spans="1:3">
      <c r="B5" s="7" t="s">
        <v>249</v>
      </c>
      <c r="C5" s="5" t="s">
        <v>250</v>
      </c>
    </row>
    <row r="6" ht="18" customHeight="1" spans="1:3">
      <c r="B6" s="7" t="s">
        <v>251</v>
      </c>
      <c r="C6" s="4" t="s">
        <v>252</v>
      </c>
    </row>
    <row r="7" ht="18" customHeight="1" spans="1:3">
      <c r="B7" s="7" t="s">
        <v>253</v>
      </c>
      <c r="C7" s="5" t="s">
        <v>254</v>
      </c>
    </row>
    <row r="8" ht="18" customHeight="1" spans="1:3">
      <c r="B8" s="7" t="s">
        <v>255</v>
      </c>
      <c r="C8" s="4" t="s">
        <v>256</v>
      </c>
    </row>
    <row r="9" ht="18" customHeight="1" spans="1:3">
      <c r="B9" s="7" t="s">
        <v>257</v>
      </c>
      <c r="C9" s="5" t="s">
        <v>258</v>
      </c>
    </row>
    <row r="10" ht="15.75"/>
    <row r="11" ht="22" customHeight="1" spans="1:3">
      <c r="B11" s="46" t="s">
        <v>259</v>
      </c>
    </row>
    <row r="12" ht="18" customHeight="1" spans="1:3">
      <c r="B12" s="3" t="s">
        <v>247</v>
      </c>
      <c r="C12" s="4" t="s">
        <v>260</v>
      </c>
    </row>
    <row r="13" ht="18" customHeight="1" spans="1:3">
      <c r="B13" s="3" t="s">
        <v>249</v>
      </c>
      <c r="C13" s="5" t="s">
        <v>261</v>
      </c>
    </row>
    <row r="14" ht="18" customHeight="1" spans="1:3">
      <c r="B14" s="3" t="s">
        <v>262</v>
      </c>
      <c r="C14" s="4" t="s">
        <v>263</v>
      </c>
    </row>
    <row r="15" ht="18" customHeight="1" spans="1:3">
      <c r="B15" s="3" t="s">
        <v>264</v>
      </c>
      <c r="C15" s="5" t="s">
        <v>265</v>
      </c>
    </row>
    <row r="16" ht="18" customHeight="1" spans="1:3">
      <c r="B16" s="3" t="s">
        <v>266</v>
      </c>
      <c r="C16" s="4" t="s">
        <v>267</v>
      </c>
    </row>
    <row r="17" ht="18" customHeight="1" spans="2:3">
      <c r="B17" s="3" t="s">
        <v>268</v>
      </c>
      <c r="C17" s="5" t="s">
        <v>269</v>
      </c>
    </row>
    <row r="18" ht="15.75"/>
    <row r="19" ht="22" customHeight="1" spans="2:3">
      <c r="B19" s="47" t="s">
        <v>270</v>
      </c>
    </row>
    <row r="20" ht="18" customHeight="1" spans="2:3">
      <c r="B20" s="9" t="s">
        <v>271</v>
      </c>
      <c r="C20" s="4" t="s">
        <v>272</v>
      </c>
    </row>
    <row r="21" ht="18" customHeight="1" spans="2:3">
      <c r="B21" s="9" t="s">
        <v>249</v>
      </c>
      <c r="C21" s="5" t="s">
        <v>273</v>
      </c>
    </row>
    <row r="22" ht="18" customHeight="1" spans="2:3">
      <c r="B22" s="9" t="s">
        <v>274</v>
      </c>
      <c r="C22" s="4" t="s">
        <v>275</v>
      </c>
    </row>
    <row r="23" ht="18" customHeight="1" spans="2:3">
      <c r="B23" s="9" t="s">
        <v>276</v>
      </c>
      <c r="C23" s="5" t="s">
        <v>265</v>
      </c>
    </row>
    <row r="24" ht="18" customHeight="1" spans="2:3">
      <c r="B24" s="9" t="s">
        <v>277</v>
      </c>
      <c r="C24" s="4" t="s">
        <v>278</v>
      </c>
    </row>
    <row r="25" ht="15.75"/>
    <row r="26" ht="22" customHeight="1" spans="2:3">
      <c r="B26" s="48" t="s">
        <v>279</v>
      </c>
    </row>
    <row r="27" ht="18" customHeight="1" spans="2:3">
      <c r="B27" s="11" t="s">
        <v>247</v>
      </c>
      <c r="C27" s="5" t="s">
        <v>280</v>
      </c>
    </row>
    <row r="28" ht="18" customHeight="1" spans="2:3">
      <c r="B28" s="11" t="s">
        <v>249</v>
      </c>
      <c r="C28" s="4" t="s">
        <v>281</v>
      </c>
    </row>
    <row r="29" ht="18" customHeight="1" spans="2:3">
      <c r="B29" s="11" t="s">
        <v>282</v>
      </c>
      <c r="C29" s="5" t="s">
        <v>283</v>
      </c>
    </row>
    <row r="30" ht="18" customHeight="1" spans="2:3">
      <c r="B30" s="11" t="s">
        <v>284</v>
      </c>
      <c r="C30" s="4" t="s">
        <v>285</v>
      </c>
    </row>
    <row r="31" ht="18" customHeight="1" spans="2:3">
      <c r="B31" s="11" t="s">
        <v>286</v>
      </c>
      <c r="C31" s="5" t="s">
        <v>287</v>
      </c>
    </row>
    <row r="32" ht="18" customHeight="1" spans="2:3">
      <c r="B32" s="11" t="s">
        <v>288</v>
      </c>
      <c r="C32" s="4" t="s">
        <v>289</v>
      </c>
    </row>
    <row r="33" ht="15.75"/>
    <row r="34" ht="22" customHeight="1" spans="2:3">
      <c r="B34" s="49" t="s">
        <v>290</v>
      </c>
    </row>
    <row r="35" ht="18" customHeight="1" spans="2:3">
      <c r="B35" s="50" t="s">
        <v>247</v>
      </c>
      <c r="C35" s="5" t="s">
        <v>291</v>
      </c>
    </row>
    <row r="36" ht="18" customHeight="1" spans="2:3">
      <c r="B36" s="50" t="s">
        <v>292</v>
      </c>
      <c r="C36" s="4" t="s">
        <v>293</v>
      </c>
    </row>
    <row r="37" ht="18" customHeight="1" spans="2:3">
      <c r="B37" s="50" t="s">
        <v>294</v>
      </c>
      <c r="C37" s="5" t="s">
        <v>295</v>
      </c>
    </row>
    <row r="38" ht="18" customHeight="1" spans="2:3">
      <c r="B38" s="50" t="s">
        <v>296</v>
      </c>
      <c r="C38" s="4" t="s">
        <v>297</v>
      </c>
    </row>
    <row r="39" ht="18" customHeight="1" spans="2:3">
      <c r="B39" s="50" t="s">
        <v>298</v>
      </c>
      <c r="C39" s="5" t="s">
        <v>299</v>
      </c>
    </row>
    <row r="40" ht="15.75"/>
    <row r="41" ht="22" customHeight="1" spans="2:3">
      <c r="B41" s="51" t="s">
        <v>300</v>
      </c>
    </row>
    <row r="42" ht="18" customHeight="1" spans="2:3">
      <c r="B42" s="52" t="s">
        <v>247</v>
      </c>
      <c r="C42" s="4" t="s">
        <v>301</v>
      </c>
    </row>
    <row r="43" ht="18" customHeight="1" spans="2:3">
      <c r="B43" s="52" t="s">
        <v>249</v>
      </c>
      <c r="C43" s="5" t="s">
        <v>302</v>
      </c>
    </row>
    <row r="44" ht="18" customHeight="1" spans="2:3">
      <c r="B44" s="52" t="s">
        <v>303</v>
      </c>
      <c r="C44" s="4" t="s">
        <v>304</v>
      </c>
    </row>
    <row r="45" ht="18" customHeight="1" spans="2:3">
      <c r="B45" s="52" t="s">
        <v>305</v>
      </c>
      <c r="C45" s="5" t="s">
        <v>306</v>
      </c>
    </row>
    <row r="46" ht="18" customHeight="1" spans="2:3">
      <c r="B46" s="52" t="s">
        <v>307</v>
      </c>
      <c r="C46" s="4" t="s">
        <v>308</v>
      </c>
    </row>
    <row r="47" ht="18" customHeight="1" spans="2:3">
      <c r="B47" s="52" t="s">
        <v>309</v>
      </c>
      <c r="C47" s="5" t="s">
        <v>310</v>
      </c>
    </row>
  </sheetData>
  <mergeCells count="41">
    <mergeCell ref="A1:E1"/>
    <mergeCell ref="B3:E3"/>
    <mergeCell ref="C4:E4"/>
    <mergeCell ref="C5:E5"/>
    <mergeCell ref="C6:E6"/>
    <mergeCell ref="C7:E7"/>
    <mergeCell ref="C8:E8"/>
    <mergeCell ref="C9:E9"/>
    <mergeCell ref="B11:E11"/>
    <mergeCell ref="C12:E12"/>
    <mergeCell ref="C13:E13"/>
    <mergeCell ref="C14:E14"/>
    <mergeCell ref="C15:E15"/>
    <mergeCell ref="C16:E16"/>
    <mergeCell ref="C17:E17"/>
    <mergeCell ref="B19:E19"/>
    <mergeCell ref="C20:E20"/>
    <mergeCell ref="C21:E21"/>
    <mergeCell ref="C22:E22"/>
    <mergeCell ref="C23:E23"/>
    <mergeCell ref="C24:E24"/>
    <mergeCell ref="B26:E26"/>
    <mergeCell ref="C27:E27"/>
    <mergeCell ref="C28:E28"/>
    <mergeCell ref="C29:E29"/>
    <mergeCell ref="C30:E30"/>
    <mergeCell ref="C31:E31"/>
    <mergeCell ref="C32:E32"/>
    <mergeCell ref="B34:E34"/>
    <mergeCell ref="C35:E35"/>
    <mergeCell ref="C36:E36"/>
    <mergeCell ref="C37:E37"/>
    <mergeCell ref="C38:E38"/>
    <mergeCell ref="C39:E39"/>
    <mergeCell ref="B41:E41"/>
    <mergeCell ref="C42:E42"/>
    <mergeCell ref="C43:E43"/>
    <mergeCell ref="C44:E44"/>
    <mergeCell ref="C45:E45"/>
    <mergeCell ref="C46:E46"/>
    <mergeCell ref="C47:E4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workbookViewId="0">
      <selection activeCell="A1" sqref="A1:E1"/>
    </sheetView>
  </sheetViews>
  <sheetFormatPr defaultColWidth="9" defaultRowHeight="15" outlineLevelCol="4"/>
  <cols>
    <col min="1" max="1" width="4" customWidth="1"/>
    <col min="2" max="2" width="18" customWidth="1"/>
    <col min="3" max="4" width="45" customWidth="1"/>
    <col min="5" max="5" width="30" customWidth="1"/>
  </cols>
  <sheetData>
    <row r="1" ht="18" customHeight="1" spans="1:3">
      <c r="A1" s="1" t="s">
        <v>311</v>
      </c>
    </row>
    <row r="2" ht="15.75"/>
    <row r="3" ht="24" customHeight="1" spans="1:3">
      <c r="B3" s="2" t="s">
        <v>312</v>
      </c>
    </row>
    <row r="4" ht="18" customHeight="1" spans="1:3">
      <c r="B4" s="3" t="s">
        <v>313</v>
      </c>
      <c r="C4" s="4"/>
    </row>
    <row r="5" ht="18" customHeight="1" spans="1:3">
      <c r="B5" s="3" t="s">
        <v>314</v>
      </c>
      <c r="C5" s="5" t="e">
        <f>BULL (obbligatorio)</f>
        <v>#NAME?</v>
      </c>
    </row>
    <row r="6" ht="18" customHeight="1" spans="1:3">
      <c r="B6" s="3" t="s">
        <v>315</v>
      </c>
      <c r="C6" s="4" t="s">
        <v>316</v>
      </c>
    </row>
    <row r="7" ht="18" customHeight="1" spans="1:3">
      <c r="B7" s="3" t="s">
        <v>317</v>
      </c>
      <c r="C7" s="5" t="s">
        <v>318</v>
      </c>
    </row>
    <row r="8" ht="18" customHeight="1" spans="1:3">
      <c r="B8" s="3" t="s">
        <v>319</v>
      </c>
      <c r="C8" s="4" t="s">
        <v>320</v>
      </c>
    </row>
    <row r="9" ht="18" customHeight="1" spans="1:3">
      <c r="B9" s="3" t="s">
        <v>321</v>
      </c>
      <c r="C9" s="5" t="s">
        <v>322</v>
      </c>
    </row>
    <row r="10" ht="15.75"/>
    <row r="11" ht="24" customHeight="1" spans="1:3">
      <c r="B11" s="6" t="s">
        <v>323</v>
      </c>
    </row>
    <row r="12" ht="18" customHeight="1" spans="1:3">
      <c r="B12" s="7" t="s">
        <v>313</v>
      </c>
      <c r="C12" s="4"/>
    </row>
    <row r="13" ht="18" customHeight="1" spans="1:3">
      <c r="B13" s="7" t="s">
        <v>314</v>
      </c>
      <c r="C13" s="5" t="s">
        <v>324</v>
      </c>
    </row>
    <row r="14" ht="18" customHeight="1" spans="1:3">
      <c r="B14" s="7" t="s">
        <v>325</v>
      </c>
      <c r="C14" s="4" t="s">
        <v>326</v>
      </c>
    </row>
    <row r="15" ht="18" customHeight="1" spans="1:3">
      <c r="B15" s="7" t="s">
        <v>327</v>
      </c>
      <c r="C15" s="5" t="s">
        <v>328</v>
      </c>
    </row>
    <row r="16" ht="18" customHeight="1" spans="1:3">
      <c r="B16" s="7" t="s">
        <v>321</v>
      </c>
      <c r="C16" s="4" t="s">
        <v>329</v>
      </c>
    </row>
    <row r="17" ht="15.75"/>
    <row r="18" ht="24" customHeight="1" spans="2:3">
      <c r="B18" s="8" t="s">
        <v>330</v>
      </c>
    </row>
    <row r="19" ht="18" customHeight="1" spans="2:3">
      <c r="B19" s="9" t="s">
        <v>313</v>
      </c>
      <c r="C19" s="5" t="s">
        <v>331</v>
      </c>
    </row>
    <row r="20" ht="18" customHeight="1" spans="2:3">
      <c r="B20" s="9" t="s">
        <v>332</v>
      </c>
      <c r="C20" s="4" t="s">
        <v>333</v>
      </c>
    </row>
    <row r="21" ht="18" customHeight="1" spans="2:3">
      <c r="B21" s="9" t="s">
        <v>321</v>
      </c>
      <c r="C21" s="5" t="s">
        <v>334</v>
      </c>
    </row>
    <row r="22" ht="15.75"/>
    <row r="23" ht="24" customHeight="1" spans="2:3">
      <c r="B23" s="43" t="s">
        <v>335</v>
      </c>
    </row>
    <row r="24" ht="18" customHeight="1" spans="2:3">
      <c r="B24" s="44" t="s">
        <v>158</v>
      </c>
      <c r="C24" s="4" t="s">
        <v>336</v>
      </c>
    </row>
    <row r="25" ht="18" customHeight="1" spans="2:3">
      <c r="B25" s="44" t="s">
        <v>337</v>
      </c>
      <c r="C25" s="5" t="s">
        <v>338</v>
      </c>
    </row>
    <row r="26" ht="18" customHeight="1" spans="2:3">
      <c r="B26" s="44" t="s">
        <v>249</v>
      </c>
      <c r="C26" s="4" t="s">
        <v>339</v>
      </c>
    </row>
    <row r="27" ht="18" customHeight="1" spans="2:3">
      <c r="B27" s="44" t="s">
        <v>321</v>
      </c>
      <c r="C27" s="5" t="s">
        <v>340</v>
      </c>
    </row>
  </sheetData>
  <mergeCells count="23">
    <mergeCell ref="A1:E1"/>
    <mergeCell ref="B3:E3"/>
    <mergeCell ref="C4:E4"/>
    <mergeCell ref="C5:E5"/>
    <mergeCell ref="C6:E6"/>
    <mergeCell ref="C7:E7"/>
    <mergeCell ref="C8:E8"/>
    <mergeCell ref="C9:E9"/>
    <mergeCell ref="B11:E11"/>
    <mergeCell ref="C12:E12"/>
    <mergeCell ref="C13:E13"/>
    <mergeCell ref="C14:E14"/>
    <mergeCell ref="C15:E15"/>
    <mergeCell ref="C16:E16"/>
    <mergeCell ref="B18:E18"/>
    <mergeCell ref="C19:E19"/>
    <mergeCell ref="C20:E20"/>
    <mergeCell ref="C21:E21"/>
    <mergeCell ref="B23:E23"/>
    <mergeCell ref="C24:E24"/>
    <mergeCell ref="C25:E25"/>
    <mergeCell ref="C26:E26"/>
    <mergeCell ref="C27:E2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showGridLines="0" workbookViewId="0">
      <selection activeCell="A1" sqref="A1:I1"/>
    </sheetView>
  </sheetViews>
  <sheetFormatPr defaultColWidth="9" defaultRowHeight="15"/>
  <cols>
    <col min="1" max="1" width="3" customWidth="1"/>
    <col min="2" max="2" width="16" customWidth="1"/>
    <col min="3" max="3" width="46" customWidth="1"/>
    <col min="4" max="5" width="10" customWidth="1"/>
    <col min="6" max="6" width="28" customWidth="1"/>
    <col min="7" max="9" width="10" customWidth="1"/>
  </cols>
  <sheetData>
    <row r="1" ht="18" customHeight="1" spans="1:9">
      <c r="A1" s="1" t="s">
        <v>341</v>
      </c>
    </row>
    <row r="2" ht="32" customHeight="1" spans="1:9">
      <c r="A2" s="12" t="s">
        <v>342</v>
      </c>
    </row>
    <row r="3" ht="15.75"/>
    <row r="4" ht="15.75" spans="1:9">
      <c r="B4" s="13" t="s">
        <v>343</v>
      </c>
      <c r="C4" s="13" t="s">
        <v>344</v>
      </c>
      <c r="D4" s="13" t="s">
        <v>345</v>
      </c>
      <c r="E4" s="13" t="s">
        <v>346</v>
      </c>
      <c r="F4" s="13" t="s">
        <v>29</v>
      </c>
      <c r="G4" s="13" t="s">
        <v>347</v>
      </c>
      <c r="H4" s="13" t="s">
        <v>348</v>
      </c>
      <c r="I4" s="13" t="s">
        <v>349</v>
      </c>
    </row>
    <row r="5" ht="18" customHeight="1" spans="1:9">
      <c r="B5" s="14" t="s">
        <v>350</v>
      </c>
      <c r="C5" s="15" t="s">
        <v>351</v>
      </c>
      <c r="D5" s="14" t="s">
        <v>352</v>
      </c>
      <c r="E5" s="14" t="s">
        <v>353</v>
      </c>
      <c r="F5" s="14" t="s">
        <v>35</v>
      </c>
      <c r="G5" s="16">
        <v>78000</v>
      </c>
      <c r="H5" s="17">
        <v>0.002</v>
      </c>
      <c r="I5" s="18">
        <v>0</v>
      </c>
    </row>
    <row r="6" ht="18" customHeight="1" spans="1:9">
      <c r="B6" s="19" t="s">
        <v>354</v>
      </c>
      <c r="C6" s="20" t="s">
        <v>355</v>
      </c>
      <c r="D6" s="19" t="s">
        <v>356</v>
      </c>
      <c r="E6" s="19" t="s">
        <v>357</v>
      </c>
      <c r="F6" s="19" t="s">
        <v>35</v>
      </c>
      <c r="G6" s="21">
        <v>42000</v>
      </c>
      <c r="H6" s="22">
        <v>0.0022</v>
      </c>
      <c r="I6" s="23">
        <v>0</v>
      </c>
    </row>
    <row r="7" ht="18" customHeight="1" spans="1:9">
      <c r="B7" s="14" t="s">
        <v>358</v>
      </c>
      <c r="C7" s="15" t="s">
        <v>359</v>
      </c>
      <c r="D7" s="14" t="s">
        <v>360</v>
      </c>
      <c r="E7" s="14" t="s">
        <v>361</v>
      </c>
      <c r="F7" s="14" t="s">
        <v>48</v>
      </c>
      <c r="G7" s="16">
        <v>8500</v>
      </c>
      <c r="H7" s="17">
        <v>0.0022</v>
      </c>
      <c r="I7" s="18">
        <v>0</v>
      </c>
    </row>
    <row r="8" ht="18" customHeight="1" spans="1:9">
      <c r="B8" s="19" t="s">
        <v>362</v>
      </c>
      <c r="C8" s="20" t="s">
        <v>363</v>
      </c>
      <c r="D8" s="19" t="s">
        <v>364</v>
      </c>
      <c r="E8" s="19" t="s">
        <v>365</v>
      </c>
      <c r="F8" s="19" t="s">
        <v>48</v>
      </c>
      <c r="G8" s="21">
        <v>7800</v>
      </c>
      <c r="H8" s="22">
        <v>0.0035</v>
      </c>
      <c r="I8" s="23">
        <v>0</v>
      </c>
    </row>
    <row r="9" ht="18" customHeight="1" spans="1:9">
      <c r="B9" s="14" t="s">
        <v>354</v>
      </c>
      <c r="C9" s="15" t="s">
        <v>366</v>
      </c>
      <c r="D9" s="14" t="s">
        <v>367</v>
      </c>
      <c r="E9" s="14" t="s">
        <v>361</v>
      </c>
      <c r="F9" s="14" t="s">
        <v>42</v>
      </c>
      <c r="G9" s="16">
        <v>3200</v>
      </c>
      <c r="H9" s="17">
        <v>0.002</v>
      </c>
      <c r="I9" s="18">
        <v>0</v>
      </c>
    </row>
    <row r="10" ht="18" customHeight="1" spans="1:9">
      <c r="B10" s="19" t="s">
        <v>368</v>
      </c>
      <c r="C10" s="20" t="s">
        <v>369</v>
      </c>
      <c r="D10" s="19" t="s">
        <v>370</v>
      </c>
      <c r="E10" s="19" t="s">
        <v>361</v>
      </c>
      <c r="F10" s="19" t="s">
        <v>42</v>
      </c>
      <c r="G10" s="21">
        <v>820</v>
      </c>
      <c r="H10" s="22">
        <v>0.0065</v>
      </c>
      <c r="I10" s="23">
        <v>0</v>
      </c>
    </row>
    <row r="11" ht="18" customHeight="1" spans="1:9">
      <c r="B11" s="14" t="s">
        <v>371</v>
      </c>
      <c r="C11" s="15" t="s">
        <v>372</v>
      </c>
      <c r="D11" s="14" t="s">
        <v>373</v>
      </c>
      <c r="E11" s="14" t="s">
        <v>361</v>
      </c>
      <c r="F11" s="14" t="s">
        <v>61</v>
      </c>
      <c r="G11" s="16">
        <v>1200</v>
      </c>
      <c r="H11" s="17">
        <v>0.0009</v>
      </c>
      <c r="I11" s="18">
        <v>3.9</v>
      </c>
    </row>
    <row r="12" ht="18" customHeight="1" spans="1:9">
      <c r="B12" s="19" t="s">
        <v>374</v>
      </c>
      <c r="C12" s="20" t="s">
        <v>375</v>
      </c>
      <c r="D12" s="19" t="s">
        <v>376</v>
      </c>
      <c r="E12" s="19" t="s">
        <v>361</v>
      </c>
      <c r="F12" s="19" t="s">
        <v>61</v>
      </c>
      <c r="G12" s="21">
        <v>2100</v>
      </c>
      <c r="H12" s="22">
        <v>0.0007</v>
      </c>
      <c r="I12" s="23">
        <v>3.4</v>
      </c>
    </row>
    <row r="13" ht="18" customHeight="1" spans="1:9">
      <c r="B13" s="14" t="s">
        <v>377</v>
      </c>
      <c r="C13" s="15" t="s">
        <v>378</v>
      </c>
      <c r="D13" s="14" t="s">
        <v>379</v>
      </c>
      <c r="E13" s="14" t="s">
        <v>361</v>
      </c>
      <c r="F13" s="14" t="s">
        <v>67</v>
      </c>
      <c r="G13" s="16">
        <v>4500</v>
      </c>
      <c r="H13" s="17">
        <v>0.0025</v>
      </c>
      <c r="I13" s="18">
        <v>6.2</v>
      </c>
    </row>
    <row r="14" ht="18" customHeight="1" spans="1:9">
      <c r="B14" s="19" t="s">
        <v>380</v>
      </c>
      <c r="C14" s="20" t="s">
        <v>381</v>
      </c>
      <c r="D14" s="19" t="s">
        <v>382</v>
      </c>
      <c r="E14" s="19" t="s">
        <v>361</v>
      </c>
      <c r="F14" s="19" t="s">
        <v>67</v>
      </c>
      <c r="G14" s="21">
        <v>3800</v>
      </c>
      <c r="H14" s="22">
        <v>0.003</v>
      </c>
      <c r="I14" s="23">
        <v>5.8</v>
      </c>
    </row>
    <row r="15" ht="18" customHeight="1" spans="1:9">
      <c r="B15" s="14" t="s">
        <v>383</v>
      </c>
      <c r="C15" s="15" t="s">
        <v>384</v>
      </c>
      <c r="D15" s="14" t="s">
        <v>385</v>
      </c>
      <c r="E15" s="14" t="s">
        <v>361</v>
      </c>
      <c r="F15" s="14" t="s">
        <v>137</v>
      </c>
      <c r="G15" s="16">
        <v>890</v>
      </c>
      <c r="H15" s="17">
        <v>0.0009</v>
      </c>
      <c r="I15" s="18">
        <v>2.1</v>
      </c>
    </row>
    <row r="16" ht="18" customHeight="1" spans="1:9">
      <c r="B16" s="24" t="s">
        <v>386</v>
      </c>
      <c r="C16" s="25" t="s">
        <v>387</v>
      </c>
      <c r="D16" s="24" t="s">
        <v>388</v>
      </c>
      <c r="E16" s="24" t="s">
        <v>389</v>
      </c>
      <c r="F16" s="26" t="s">
        <v>79</v>
      </c>
      <c r="G16" s="27">
        <v>12000</v>
      </c>
      <c r="H16" s="28">
        <v>0.0015</v>
      </c>
      <c r="I16" s="29">
        <v>0</v>
      </c>
    </row>
    <row r="17" ht="18" customHeight="1" spans="2:9">
      <c r="B17" s="24" t="s">
        <v>390</v>
      </c>
      <c r="C17" s="25" t="s">
        <v>391</v>
      </c>
      <c r="D17" s="24" t="s">
        <v>392</v>
      </c>
      <c r="E17" s="24" t="s">
        <v>353</v>
      </c>
      <c r="F17" s="26" t="s">
        <v>79</v>
      </c>
      <c r="G17" s="27">
        <v>8500</v>
      </c>
      <c r="H17" s="28">
        <v>0.0012</v>
      </c>
      <c r="I17" s="29">
        <v>0</v>
      </c>
    </row>
    <row r="18" ht="18" customHeight="1" spans="2:9">
      <c r="B18" s="19" t="s">
        <v>393</v>
      </c>
      <c r="C18" s="20" t="s">
        <v>394</v>
      </c>
      <c r="D18" s="19" t="s">
        <v>395</v>
      </c>
      <c r="E18" s="19" t="s">
        <v>396</v>
      </c>
      <c r="F18" s="19" t="s">
        <v>73</v>
      </c>
      <c r="G18" s="21">
        <v>450</v>
      </c>
      <c r="H18" s="22">
        <v>0.0019</v>
      </c>
      <c r="I18" s="23">
        <v>0</v>
      </c>
    </row>
    <row r="19" ht="18" customHeight="1" spans="2:9">
      <c r="B19" s="30" t="s">
        <v>397</v>
      </c>
      <c r="C19" s="31" t="s">
        <v>398</v>
      </c>
      <c r="D19" s="30" t="s">
        <v>399</v>
      </c>
      <c r="E19" s="30" t="s">
        <v>389</v>
      </c>
      <c r="F19" s="32" t="s">
        <v>85</v>
      </c>
      <c r="G19" s="33">
        <v>320</v>
      </c>
      <c r="H19" s="34">
        <v>0.0049</v>
      </c>
      <c r="I19" s="35">
        <v>0</v>
      </c>
    </row>
    <row r="20" ht="18" customHeight="1" spans="2:9">
      <c r="B20" s="19" t="s">
        <v>400</v>
      </c>
      <c r="C20" s="20" t="s">
        <v>401</v>
      </c>
      <c r="D20" s="19" t="s">
        <v>402</v>
      </c>
      <c r="E20" s="19" t="s">
        <v>361</v>
      </c>
      <c r="F20" s="19" t="s">
        <v>91</v>
      </c>
      <c r="G20" s="21">
        <v>1100</v>
      </c>
      <c r="H20" s="22">
        <v>0.0018</v>
      </c>
      <c r="I20" s="23">
        <v>3.2</v>
      </c>
    </row>
    <row r="21" ht="18" customHeight="1" spans="2:9">
      <c r="B21" s="19" t="s">
        <v>403</v>
      </c>
      <c r="C21" s="20" t="s">
        <v>404</v>
      </c>
      <c r="D21" s="19" t="s">
        <v>405</v>
      </c>
      <c r="E21" s="19" t="s">
        <v>361</v>
      </c>
      <c r="F21" s="36" t="s">
        <v>146</v>
      </c>
      <c r="G21" s="21">
        <v>28000</v>
      </c>
      <c r="H21" s="22">
        <v>0.0007</v>
      </c>
      <c r="I21" s="23">
        <v>3.9</v>
      </c>
    </row>
    <row r="22" ht="18" customHeight="1" spans="2:9">
      <c r="B22" s="19" t="s">
        <v>406</v>
      </c>
      <c r="C22" s="20" t="s">
        <v>407</v>
      </c>
      <c r="D22" s="19" t="s">
        <v>408</v>
      </c>
      <c r="E22" s="19" t="s">
        <v>365</v>
      </c>
      <c r="F22" s="36" t="s">
        <v>146</v>
      </c>
      <c r="G22" s="21">
        <v>12000</v>
      </c>
      <c r="H22" s="22">
        <v>0.001</v>
      </c>
      <c r="I22" s="23">
        <v>3.9</v>
      </c>
    </row>
    <row r="23" ht="18" customHeight="1" spans="2:9">
      <c r="B23" s="37" t="s">
        <v>409</v>
      </c>
      <c r="C23" s="38" t="s">
        <v>410</v>
      </c>
      <c r="D23" s="37" t="s">
        <v>411</v>
      </c>
      <c r="E23" s="37" t="s">
        <v>353</v>
      </c>
      <c r="F23" s="39" t="s">
        <v>97</v>
      </c>
      <c r="G23" s="40">
        <v>850</v>
      </c>
      <c r="H23" s="41">
        <v>0.0015</v>
      </c>
      <c r="I23" s="42">
        <v>0</v>
      </c>
    </row>
    <row r="24" ht="18" customHeight="1" spans="2:9">
      <c r="B24" s="37" t="s">
        <v>412</v>
      </c>
      <c r="C24" s="38" t="s">
        <v>413</v>
      </c>
      <c r="D24" s="37" t="s">
        <v>414</v>
      </c>
      <c r="E24" s="37" t="s">
        <v>415</v>
      </c>
      <c r="F24" s="39" t="s">
        <v>97</v>
      </c>
      <c r="G24" s="40">
        <v>1800</v>
      </c>
      <c r="H24" s="41">
        <v>0.0015</v>
      </c>
      <c r="I24" s="42">
        <v>0</v>
      </c>
    </row>
    <row r="25" ht="18" customHeight="1" spans="2:9">
      <c r="B25" s="37" t="s">
        <v>416</v>
      </c>
      <c r="C25" s="38" t="s">
        <v>417</v>
      </c>
      <c r="D25" s="37" t="s">
        <v>418</v>
      </c>
      <c r="E25" s="37" t="s">
        <v>353</v>
      </c>
      <c r="F25" s="39" t="s">
        <v>111</v>
      </c>
      <c r="G25" s="40">
        <v>1200</v>
      </c>
      <c r="H25" s="41">
        <v>0.0075</v>
      </c>
      <c r="I25" s="42">
        <v>2.8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showGridLines="0" workbookViewId="0">
      <selection activeCell="A1" sqref="A1:E1"/>
    </sheetView>
  </sheetViews>
  <sheetFormatPr defaultColWidth="9" defaultRowHeight="15" outlineLevelCol="4"/>
  <cols>
    <col min="1" max="1" width="4" customWidth="1"/>
    <col min="2" max="2" width="8.85714285714286" customWidth="1"/>
    <col min="3" max="3" width="18" customWidth="1"/>
    <col min="4" max="4" width="55" customWidth="1"/>
    <col min="5" max="5" width="30" customWidth="1"/>
  </cols>
  <sheetData>
    <row r="1" ht="18" customHeight="1" spans="1:3">
      <c r="A1" s="1" t="s">
        <v>419</v>
      </c>
    </row>
    <row r="2" ht="15.75"/>
    <row r="3" ht="24" customHeight="1" spans="1:3">
      <c r="B3" s="2" t="s">
        <v>420</v>
      </c>
    </row>
    <row r="4" ht="22" customHeight="1" spans="1:3">
      <c r="B4" s="3" t="s">
        <v>421</v>
      </c>
      <c r="C4" s="4" t="s">
        <v>422</v>
      </c>
    </row>
    <row r="5" ht="22" customHeight="1" spans="1:3">
      <c r="B5" s="3" t="s">
        <v>423</v>
      </c>
      <c r="C5" s="5" t="s">
        <v>424</v>
      </c>
    </row>
    <row r="6" ht="22" customHeight="1" spans="1:3">
      <c r="B6" s="3" t="s">
        <v>425</v>
      </c>
      <c r="C6" s="4" t="s">
        <v>426</v>
      </c>
    </row>
    <row r="7" ht="22" customHeight="1" spans="1:3">
      <c r="B7" s="3" t="s">
        <v>427</v>
      </c>
      <c r="C7" s="5" t="s">
        <v>428</v>
      </c>
    </row>
    <row r="8" ht="22" customHeight="1" spans="1:3">
      <c r="B8" s="3" t="s">
        <v>429</v>
      </c>
      <c r="C8" s="4" t="s">
        <v>430</v>
      </c>
    </row>
    <row r="9" ht="15.75"/>
    <row r="10" ht="24" customHeight="1" spans="1:3">
      <c r="B10" s="6" t="s">
        <v>431</v>
      </c>
    </row>
    <row r="11" ht="22" customHeight="1" spans="1:3">
      <c r="B11" s="7" t="s">
        <v>421</v>
      </c>
      <c r="C11" s="5" t="s">
        <v>432</v>
      </c>
    </row>
    <row r="12" ht="22" customHeight="1" spans="1:3">
      <c r="B12" s="7" t="s">
        <v>423</v>
      </c>
      <c r="C12" s="4" t="s">
        <v>433</v>
      </c>
    </row>
    <row r="13" ht="22" customHeight="1" spans="1:3">
      <c r="B13" s="7" t="s">
        <v>425</v>
      </c>
      <c r="C13" s="5" t="s">
        <v>434</v>
      </c>
    </row>
    <row r="14" ht="22" customHeight="1" spans="1:3">
      <c r="B14" s="7" t="s">
        <v>427</v>
      </c>
      <c r="C14" s="4" t="s">
        <v>435</v>
      </c>
    </row>
    <row r="15" ht="22" customHeight="1" spans="1:3">
      <c r="B15" s="7" t="s">
        <v>429</v>
      </c>
      <c r="C15" s="5" t="s">
        <v>436</v>
      </c>
    </row>
    <row r="16" ht="15.75"/>
    <row r="17" ht="24" customHeight="1" spans="2:3">
      <c r="B17" s="8" t="s">
        <v>437</v>
      </c>
    </row>
    <row r="18" ht="22" customHeight="1" spans="2:3">
      <c r="B18" s="9" t="s">
        <v>421</v>
      </c>
      <c r="C18" s="4" t="s">
        <v>438</v>
      </c>
    </row>
    <row r="19" ht="22" customHeight="1" spans="2:3">
      <c r="B19" s="9" t="s">
        <v>423</v>
      </c>
      <c r="C19" s="5" t="s">
        <v>439</v>
      </c>
    </row>
    <row r="20" ht="22" customHeight="1" spans="2:3">
      <c r="B20" s="9" t="s">
        <v>425</v>
      </c>
      <c r="C20" s="4" t="s">
        <v>440</v>
      </c>
    </row>
    <row r="21" ht="22" customHeight="1" spans="2:3">
      <c r="B21" s="9" t="s">
        <v>427</v>
      </c>
      <c r="C21" s="5" t="s">
        <v>441</v>
      </c>
    </row>
    <row r="22" ht="22" customHeight="1" spans="2:3">
      <c r="B22" s="9" t="s">
        <v>442</v>
      </c>
      <c r="C22" s="4" t="s">
        <v>443</v>
      </c>
    </row>
    <row r="23" ht="22" customHeight="1" spans="2:3">
      <c r="B23" s="9" t="s">
        <v>429</v>
      </c>
      <c r="C23" s="5" t="s">
        <v>444</v>
      </c>
    </row>
    <row r="24" ht="15.75"/>
    <row r="25" ht="24" customHeight="1" spans="2:3">
      <c r="B25" s="10" t="s">
        <v>445</v>
      </c>
    </row>
    <row r="26" ht="22" customHeight="1" spans="2:3">
      <c r="B26" s="11" t="s">
        <v>421</v>
      </c>
      <c r="C26" s="4" t="s">
        <v>446</v>
      </c>
    </row>
    <row r="27" ht="22" customHeight="1" spans="2:3">
      <c r="B27" s="11" t="s">
        <v>423</v>
      </c>
      <c r="C27" s="5" t="s">
        <v>447</v>
      </c>
    </row>
    <row r="28" ht="22" customHeight="1" spans="2:3">
      <c r="B28" s="11" t="s">
        <v>425</v>
      </c>
      <c r="C28" s="4" t="s">
        <v>448</v>
      </c>
    </row>
    <row r="29" ht="22" customHeight="1" spans="2:3">
      <c r="B29" s="11" t="s">
        <v>427</v>
      </c>
      <c r="C29" s="5" t="s">
        <v>449</v>
      </c>
    </row>
    <row r="30" ht="22" customHeight="1" spans="2:3">
      <c r="B30" s="11" t="s">
        <v>442</v>
      </c>
      <c r="C30" s="4" t="s">
        <v>450</v>
      </c>
    </row>
    <row r="31" ht="22" customHeight="1" spans="2:3">
      <c r="B31" s="11" t="s">
        <v>429</v>
      </c>
      <c r="C31" s="5" t="s">
        <v>451</v>
      </c>
    </row>
  </sheetData>
  <mergeCells count="27">
    <mergeCell ref="A1:E1"/>
    <mergeCell ref="B3:E3"/>
    <mergeCell ref="C4:E4"/>
    <mergeCell ref="C5:E5"/>
    <mergeCell ref="C6:E6"/>
    <mergeCell ref="C7:E7"/>
    <mergeCell ref="C8:E8"/>
    <mergeCell ref="B10:E10"/>
    <mergeCell ref="C11:E11"/>
    <mergeCell ref="C12:E12"/>
    <mergeCell ref="C13:E13"/>
    <mergeCell ref="C14:E14"/>
    <mergeCell ref="C15:E15"/>
    <mergeCell ref="B17:E17"/>
    <mergeCell ref="C18:E18"/>
    <mergeCell ref="C19:E19"/>
    <mergeCell ref="C20:E20"/>
    <mergeCell ref="C21:E21"/>
    <mergeCell ref="C22:E22"/>
    <mergeCell ref="C23:E23"/>
    <mergeCell ref="B25:E25"/>
    <mergeCell ref="C26:E26"/>
    <mergeCell ref="C27:E27"/>
    <mergeCell ref="C28:E28"/>
    <mergeCell ref="C29:E29"/>
    <mergeCell ref="C30:E30"/>
    <mergeCell ref="C31:E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0_INDICE</vt:lpstr>
      <vt:lpstr>1_FAMIGLIE</vt:lpstr>
      <vt:lpstr>2_SOGLIE</vt:lpstr>
      <vt:lpstr>3_REGIME</vt:lpstr>
      <vt:lpstr>4_SCORING</vt:lpstr>
      <vt:lpstr>5_METRICHE</vt:lpstr>
      <vt:lpstr>6_LIVELLI</vt:lpstr>
      <vt:lpstr>7_UNIVERSO</vt:lpstr>
      <vt:lpstr>8_ROADMAP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Utente</cp:lastModifiedBy>
  <dcterms:created xsi:type="dcterms:W3CDTF">2026-06-27T13:26:00Z</dcterms:created>
  <dcterms:modified xsi:type="dcterms:W3CDTF">2026-06-27T13:31:18Z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A009A21A24D646D1B5DCFFC629ACD5E5_12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